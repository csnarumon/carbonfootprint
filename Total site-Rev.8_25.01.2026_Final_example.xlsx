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arumon\Desktop\"/>
    </mc:Choice>
  </mc:AlternateContent>
  <xr:revisionPtr revIDLastSave="0" documentId="13_ncr:1_{78DD88C9-4A55-4BC7-B08A-6F08AC10DE78}" xr6:coauthVersionLast="47" xr6:coauthVersionMax="47" xr10:uidLastSave="{00000000-0000-0000-0000-000000000000}"/>
  <bookViews>
    <workbookView xWindow="-108" yWindow="-108" windowWidth="23256" windowHeight="12456" tabRatio="598" firstSheet="1" activeTab="2" xr2:uid="{00000000-000D-0000-FFFF-FFFF00000000}"/>
  </bookViews>
  <sheets>
    <sheet name="EF TGO AR4" sheetId="13" state="hidden" r:id="rId1"/>
    <sheet name="Excel sheet-Head Office" sheetId="35" r:id="rId2"/>
    <sheet name="Activity data -Head Office" sheetId="36" r:id="rId3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n">#REF!</definedName>
    <definedName name="\p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#REF!</definedName>
    <definedName name="____________D65590">#REF!</definedName>
    <definedName name="___________D65590">#REF!</definedName>
    <definedName name="__________D65590">#REF!</definedName>
    <definedName name="_________C65550">#REF!</definedName>
    <definedName name="_________C65590">#REF!</definedName>
    <definedName name="_________C65690">#REF!</definedName>
    <definedName name="_________C68800">#REF!</definedName>
    <definedName name="_________C69000">#REF!</definedName>
    <definedName name="_________C75500">#REF!</definedName>
    <definedName name="_________C80500">#REF!</definedName>
    <definedName name="_________D65590">#REF!</definedName>
    <definedName name="_________lt04" hidden="1">#REF!</definedName>
    <definedName name="________C65550">#REF!</definedName>
    <definedName name="________C65590">#REF!</definedName>
    <definedName name="________C65690">#REF!</definedName>
    <definedName name="________C68800">#REF!</definedName>
    <definedName name="________C69000">#REF!</definedName>
    <definedName name="________C75500">#REF!</definedName>
    <definedName name="________C80500">#REF!</definedName>
    <definedName name="________D65590">#REF!</definedName>
    <definedName name="________l1" hidden="1">{#N/A,#N/A,FALSE,"Eff-SSC2"}</definedName>
    <definedName name="________nes254" hidden="1">{#N/A,#N/A,FALSE,"Eff-SSC2"}</definedName>
    <definedName name="________NHR1">#REF!</definedName>
    <definedName name="________obj05">#REF!</definedName>
    <definedName name="________pp2" hidden="1">{#N/A,#N/A,FALSE,"Eff-SSC2"}</definedName>
    <definedName name="________rm1">#REF!</definedName>
    <definedName name="________W37" hidden="1">{#N/A,#N/A,FALSE,"Eff-SSC2"}</definedName>
    <definedName name="________w39" hidden="1">{#N/A,#N/A,FALSE,"Eff-SSC2"}</definedName>
    <definedName name="_______C65550">#REF!</definedName>
    <definedName name="_______C65590">#REF!</definedName>
    <definedName name="_______C65690">#REF!</definedName>
    <definedName name="_______C68800">#REF!</definedName>
    <definedName name="_______C69000">#REF!</definedName>
    <definedName name="_______C75500">#REF!</definedName>
    <definedName name="_______C80500">#REF!</definedName>
    <definedName name="_______D65590">#REF!</definedName>
    <definedName name="_______l1" hidden="1">{#N/A,#N/A,FALSE,"Eff-SSC2"}</definedName>
    <definedName name="_______lt04" hidden="1">#REF!</definedName>
    <definedName name="_______nes254" hidden="1">{#N/A,#N/A,FALSE,"Eff-SSC2"}</definedName>
    <definedName name="_______NHR1">#REF!</definedName>
    <definedName name="_______obj05">#REF!</definedName>
    <definedName name="_______OBJ2005">#REF!</definedName>
    <definedName name="_______pp2" hidden="1">{#N/A,#N/A,FALSE,"Eff-SSC2"}</definedName>
    <definedName name="_______rm1">#REF!</definedName>
    <definedName name="_______W37" hidden="1">{#N/A,#N/A,FALSE,"Eff-SSC2"}</definedName>
    <definedName name="_______W38" hidden="1">{#N/A,#N/A,FALSE,"Eff-SSC2"}</definedName>
    <definedName name="_______w39" hidden="1">{#N/A,#N/A,FALSE,"Eff-SSC2"}</definedName>
    <definedName name="______C65550">#REF!</definedName>
    <definedName name="______C65590">#REF!</definedName>
    <definedName name="______C65690">#REF!</definedName>
    <definedName name="______C68800">#REF!</definedName>
    <definedName name="______C69000">#REF!</definedName>
    <definedName name="______C75500">#REF!</definedName>
    <definedName name="______C80500">#REF!</definedName>
    <definedName name="______D65590">#REF!</definedName>
    <definedName name="______l1" hidden="1">{#N/A,#N/A,FALSE,"Eff-SSC2"}</definedName>
    <definedName name="______lt04" hidden="1">#REF!</definedName>
    <definedName name="______nes123" hidden="1">{#N/A,#N/A,FALSE,"Eff-SSC2"}</definedName>
    <definedName name="______nes254" hidden="1">{#N/A,#N/A,FALSE,"Eff-SSC2"}</definedName>
    <definedName name="______NHR1">#REF!</definedName>
    <definedName name="______obj05">#REF!</definedName>
    <definedName name="______OBJ2005">#REF!</definedName>
    <definedName name="______pp2" hidden="1">{#N/A,#N/A,FALSE,"Eff-SSC2"}</definedName>
    <definedName name="______rm1">#REF!</definedName>
    <definedName name="______W37" hidden="1">{#N/A,#N/A,FALSE,"Eff-SSC2"}</definedName>
    <definedName name="______W38" hidden="1">{#N/A,#N/A,FALSE,"Eff-SSC2"}</definedName>
    <definedName name="______w39" hidden="1">{#N/A,#N/A,FALSE,"Eff-SSC2"}</definedName>
    <definedName name="______w40" hidden="1">{#N/A,#N/A,FALSE,"Eff-SSC2"}</definedName>
    <definedName name="______w6" hidden="1">{#N/A,#N/A,FALSE,"Eff-SSC2"}</definedName>
    <definedName name="______wee2" hidden="1">{#N/A,#N/A,FALSE,"Eff-SSC2"}</definedName>
    <definedName name="_____C65550">#REF!</definedName>
    <definedName name="_____C65590">#REF!</definedName>
    <definedName name="_____C65690">#REF!</definedName>
    <definedName name="_____C68800">#REF!</definedName>
    <definedName name="_____C69000">#REF!</definedName>
    <definedName name="_____C75500">#REF!</definedName>
    <definedName name="_____C80500">#REF!</definedName>
    <definedName name="_____D65590">#REF!</definedName>
    <definedName name="_____l1" hidden="1">{#N/A,#N/A,FALSE,"Eff-SSC2"}</definedName>
    <definedName name="_____lt04" hidden="1">#REF!</definedName>
    <definedName name="_____nes254" hidden="1">{#N/A,#N/A,FALSE,"Eff-SSC2"}</definedName>
    <definedName name="_____NHR1">#REF!</definedName>
    <definedName name="_____obj05">#REF!</definedName>
    <definedName name="_____OBJ2005">#REF!</definedName>
    <definedName name="_____Pcs05">#N/A</definedName>
    <definedName name="_____Pcs06">#N/A</definedName>
    <definedName name="_____Pcs07">#N/A</definedName>
    <definedName name="_____Pcs08">#N/A</definedName>
    <definedName name="_____pp2" hidden="1">{#N/A,#N/A,FALSE,"Eff-SSC2"}</definedName>
    <definedName name="_____rm1">#REF!</definedName>
    <definedName name="_____SSC2">#N/A</definedName>
    <definedName name="_____W37" hidden="1">{#N/A,#N/A,FALSE,"Eff-SSC2"}</definedName>
    <definedName name="_____W38" hidden="1">{#N/A,#N/A,FALSE,"Eff-SSC2"}</definedName>
    <definedName name="_____w39" hidden="1">{#N/A,#N/A,FALSE,"Eff-SSC2"}</definedName>
    <definedName name="____C65550">#REF!</definedName>
    <definedName name="____C65590">#REF!</definedName>
    <definedName name="____C65690">#REF!</definedName>
    <definedName name="____C68800">#REF!</definedName>
    <definedName name="____C69000">#REF!</definedName>
    <definedName name="____C75500">#REF!</definedName>
    <definedName name="____C80500">#REF!</definedName>
    <definedName name="____D65590">#REF!</definedName>
    <definedName name="____nes123" hidden="1">{#N/A,#N/A,FALSE,"Eff-SSC2"}</definedName>
    <definedName name="____OBJ2005">#REF!</definedName>
    <definedName name="____Pcs05">#N/A</definedName>
    <definedName name="____Pcs06">#N/A</definedName>
    <definedName name="____Pcs07">#N/A</definedName>
    <definedName name="____Pcs08">#N/A</definedName>
    <definedName name="____SSC2">#N/A</definedName>
    <definedName name="____W38" hidden="1">{#N/A,#N/A,FALSE,"Eff-SSC2"}</definedName>
    <definedName name="____w40" hidden="1">{#N/A,#N/A,FALSE,"Eff-SSC2"}</definedName>
    <definedName name="____w6" hidden="1">{#N/A,#N/A,FALSE,"Eff-SSC2"}</definedName>
    <definedName name="____wee2" hidden="1">{#N/A,#N/A,FALSE,"Eff-SSC2"}</definedName>
    <definedName name="___C65550">#REF!</definedName>
    <definedName name="___C65590">#REF!</definedName>
    <definedName name="___C65690">#REF!</definedName>
    <definedName name="___C68800">#REF!</definedName>
    <definedName name="___C69000">#REF!</definedName>
    <definedName name="___C75500">#REF!</definedName>
    <definedName name="___C80500">#REF!</definedName>
    <definedName name="___D65590">#REF!</definedName>
    <definedName name="___l1" hidden="1">{#N/A,#N/A,FALSE,"Eff-SSC2"}</definedName>
    <definedName name="___lt04" hidden="1">#REF!</definedName>
    <definedName name="___nes123" hidden="1">{#N/A,#N/A,FALSE,"Eff-SSC2"}</definedName>
    <definedName name="___nes254" hidden="1">{#N/A,#N/A,FALSE,"Eff-SSC2"}</definedName>
    <definedName name="___NHR1">#REF!</definedName>
    <definedName name="___obj05">#REF!</definedName>
    <definedName name="___OBJ2005">#REF!</definedName>
    <definedName name="___Pcs05">#N/A</definedName>
    <definedName name="___Pcs06">#N/A</definedName>
    <definedName name="___Pcs07">#N/A</definedName>
    <definedName name="___Pcs08">#N/A</definedName>
    <definedName name="___pp2" hidden="1">{#N/A,#N/A,FALSE,"Eff-SSC2"}</definedName>
    <definedName name="___rm1">#REF!</definedName>
    <definedName name="___SSC2">#N/A</definedName>
    <definedName name="___W37" hidden="1">{#N/A,#N/A,FALSE,"Eff-SSC2"}</definedName>
    <definedName name="___w39" hidden="1">{#N/A,#N/A,FALSE,"Eff-SSC2"}</definedName>
    <definedName name="___w40" hidden="1">{#N/A,#N/A,FALSE,"Eff-SSC2"}</definedName>
    <definedName name="___w6" hidden="1">{#N/A,#N/A,FALSE,"Eff-SSC2"}</definedName>
    <definedName name="___wee2" hidden="1">{#N/A,#N/A,FALSE,"Eff-SSC2"}</definedName>
    <definedName name="__123Graph_A1" hidden="1">#REF!</definedName>
    <definedName name="__123Graph_ABRENT" hidden="1">#REF!</definedName>
    <definedName name="__123Graph_ACR" hidden="1">#REF!</definedName>
    <definedName name="__123Graph_ACR2" hidden="1">#REF!</definedName>
    <definedName name="__123Graph_ACR20" hidden="1">#REF!</definedName>
    <definedName name="__123Graph_ACR3" hidden="1">#REF!</definedName>
    <definedName name="__123Graph_ACR4" hidden="1">#REF!</definedName>
    <definedName name="__123Graph_ACR5" hidden="1">#REF!</definedName>
    <definedName name="__123Graph_ACRU" hidden="1">#REF!</definedName>
    <definedName name="__123Graph_ACRU4" hidden="1">#REF!</definedName>
    <definedName name="__123Graph_ADIBAI" hidden="1">#REF!</definedName>
    <definedName name="__123Graph_ADUBAI" hidden="1">#REF!</definedName>
    <definedName name="__123Graph_AF1" hidden="1">#REF!</definedName>
    <definedName name="__123Graph_AF2" hidden="1">#REF!</definedName>
    <definedName name="__123Graph_AF3" hidden="1">#REF!</definedName>
    <definedName name="__123Graph_AF4" hidden="1">#REF!</definedName>
    <definedName name="__123Graph_AFO" hidden="1">#REF!</definedName>
    <definedName name="__123Graph_AFO180" hidden="1">#REF!</definedName>
    <definedName name="__123Graph_AFOLS" hidden="1">#REF!</definedName>
    <definedName name="__123Graph_AHD1" hidden="1">#REF!</definedName>
    <definedName name="__123Graph_AHD2" hidden="1">#REF!</definedName>
    <definedName name="__123Graph_AHD3" hidden="1">#REF!</definedName>
    <definedName name="__123Graph_AHD4" hidden="1">#REF!</definedName>
    <definedName name="__123Graph_AHD5" hidden="1">#REF!</definedName>
    <definedName name="__123Graph_AHSD" hidden="1">#REF!</definedName>
    <definedName name="__123Graph_AJA" hidden="1">#REF!</definedName>
    <definedName name="__123Graph_AJA2" hidden="1">#REF!</definedName>
    <definedName name="__123Graph_ALPG1" hidden="1">#REF!</definedName>
    <definedName name="__123Graph_ALPG2" hidden="1">#REF!</definedName>
    <definedName name="__123Graph_ALPG3" hidden="1">#REF!</definedName>
    <definedName name="__123Graph_ALPG4" hidden="1">#REF!</definedName>
    <definedName name="__123Graph_ALPG5" hidden="1">#REF!</definedName>
    <definedName name="__123Graph_AOM" hidden="1">#REF!</definedName>
    <definedName name="__123Graph_AOMAN" hidden="1">#REF!</definedName>
    <definedName name="__123Graph_AP20" hidden="1">#REF!</definedName>
    <definedName name="__123Graph_APICCR" hidden="1">#REF!</definedName>
    <definedName name="__123Graph_APICPRO" hidden="1">#REF!</definedName>
    <definedName name="__123Graph_APICULG" hidden="1">#REF!</definedName>
    <definedName name="__123Graph_APOSTF" hidden="1">#REF!</definedName>
    <definedName name="__123Graph_APOSTHD" hidden="1">#REF!</definedName>
    <definedName name="__123Graph_APOSTLPG" hidden="1">#REF!</definedName>
    <definedName name="__123Graph_APOSTULG" hidden="1">#REF!</definedName>
    <definedName name="__123Graph_APRO" hidden="1">#REF!</definedName>
    <definedName name="__123Graph_APRO93" hidden="1">#REF!</definedName>
    <definedName name="__123Graph_ASA" hidden="1">#REF!</definedName>
    <definedName name="__123Graph_ASP1" hidden="1">#REF!</definedName>
    <definedName name="__123Graph_ATEM1" hidden="1">#REF!</definedName>
    <definedName name="__123Graph_ATEMP" hidden="1">#REF!</definedName>
    <definedName name="__123Graph_ATUK" hidden="1">#REF!</definedName>
    <definedName name="__123Graph_AULG1" hidden="1">#REF!</definedName>
    <definedName name="__123Graph_AULG2" hidden="1">#REF!</definedName>
    <definedName name="__123Graph_AULG3" hidden="1">#REF!</definedName>
    <definedName name="__123Graph_AULG4" hidden="1">#REF!</definedName>
    <definedName name="__123Graph_AULG5" hidden="1">#REF!</definedName>
    <definedName name="__123Graph_AULG92" hidden="1">#REF!</definedName>
    <definedName name="__123Graph_AULG95" hidden="1">#REF!</definedName>
    <definedName name="__123Graph_AULG97" hidden="1">#REF!</definedName>
    <definedName name="__123Graph_B1" hidden="1">#REF!</definedName>
    <definedName name="__123Graph_BBRENT" hidden="1">#REF!</definedName>
    <definedName name="__123Graph_BCR" hidden="1">#REF!</definedName>
    <definedName name="__123Graph_BCR2" hidden="1">#REF!</definedName>
    <definedName name="__123Graph_BCR20" hidden="1">#REF!</definedName>
    <definedName name="__123Graph_BCR3" hidden="1">#REF!</definedName>
    <definedName name="__123Graph_BCR4" hidden="1">#REF!</definedName>
    <definedName name="__123Graph_BCR5" hidden="1">#REF!</definedName>
    <definedName name="__123Graph_BCRU" hidden="1">#REF!</definedName>
    <definedName name="__123Graph_BCRU4" hidden="1">#REF!</definedName>
    <definedName name="__123Graph_BF1" hidden="1">#REF!</definedName>
    <definedName name="__123Graph_BF2" hidden="1">#REF!</definedName>
    <definedName name="__123Graph_BF3" hidden="1">#REF!</definedName>
    <definedName name="__123Graph_BF4" hidden="1">#REF!</definedName>
    <definedName name="__123Graph_BFO" hidden="1">#REF!</definedName>
    <definedName name="__123Graph_BFOLS" hidden="1">#REF!</definedName>
    <definedName name="__123Graph_BHD1" hidden="1">#REF!</definedName>
    <definedName name="__123Graph_BHD2" hidden="1">#REF!</definedName>
    <definedName name="__123Graph_BHD3" hidden="1">#REF!</definedName>
    <definedName name="__123Graph_BHD4" hidden="1">#REF!</definedName>
    <definedName name="__123Graph_BHD5" hidden="1">#REF!</definedName>
    <definedName name="__123Graph_BJA" hidden="1">#REF!</definedName>
    <definedName name="__123Graph_BJA2" hidden="1">#REF!</definedName>
    <definedName name="__123Graph_BLPG1" hidden="1">#REF!</definedName>
    <definedName name="__123Graph_BLPG2" hidden="1">#REF!</definedName>
    <definedName name="__123Graph_BLPG3" hidden="1">#REF!</definedName>
    <definedName name="__123Graph_BLPG4" hidden="1">#REF!</definedName>
    <definedName name="__123Graph_BLPG5" hidden="1">#REF!</definedName>
    <definedName name="__123Graph_BP20" hidden="1">#REF!</definedName>
    <definedName name="__123Graph_BPICCR" hidden="1">#REF!</definedName>
    <definedName name="__123Graph_BPICPRO" hidden="1">#REF!</definedName>
    <definedName name="__123Graph_BPICULG" hidden="1">#REF!</definedName>
    <definedName name="__123Graph_BPOSTF" hidden="1">#REF!</definedName>
    <definedName name="__123Graph_BPOSTHD" hidden="1">#REF!</definedName>
    <definedName name="__123Graph_BPOSTLPG" hidden="1">#REF!</definedName>
    <definedName name="__123Graph_BPOSTULG" hidden="1">#REF!</definedName>
    <definedName name="__123Graph_BPRO" hidden="1">#REF!</definedName>
    <definedName name="__123Graph_BPRO93" hidden="1">#REF!</definedName>
    <definedName name="__123Graph_BSA" hidden="1">#REF!</definedName>
    <definedName name="__123Graph_BSP1" hidden="1">#REF!</definedName>
    <definedName name="__123Graph_BTUK" hidden="1">#REF!</definedName>
    <definedName name="__123Graph_BULG1" hidden="1">#REF!</definedName>
    <definedName name="__123Graph_BULG2" hidden="1">#REF!</definedName>
    <definedName name="__123Graph_BULG3" hidden="1">#REF!</definedName>
    <definedName name="__123Graph_BULG4" hidden="1">#REF!</definedName>
    <definedName name="__123Graph_BULG5" hidden="1">#REF!</definedName>
    <definedName name="__123Graph_C1" hidden="1">#REF!</definedName>
    <definedName name="__123Graph_CBRENT" hidden="1">#REF!</definedName>
    <definedName name="__123Graph_CCR" hidden="1">#REF!</definedName>
    <definedName name="__123Graph_CCR2" hidden="1">#REF!</definedName>
    <definedName name="__123Graph_CCR20" hidden="1">#REF!</definedName>
    <definedName name="__123Graph_CCR3" hidden="1">#REF!</definedName>
    <definedName name="__123Graph_CCR4" hidden="1">#REF!</definedName>
    <definedName name="__123Graph_CCR5" hidden="1">#REF!</definedName>
    <definedName name="__123Graph_CCRU" hidden="1">#REF!</definedName>
    <definedName name="__123Graph_CCRU4" hidden="1">#REF!</definedName>
    <definedName name="__123Graph_CF1" hidden="1">#REF!</definedName>
    <definedName name="__123Graph_CF2" hidden="1">#REF!</definedName>
    <definedName name="__123Graph_CF3" hidden="1">#REF!</definedName>
    <definedName name="__123Graph_CF4" hidden="1">#REF!</definedName>
    <definedName name="__123Graph_CFO" hidden="1">#REF!</definedName>
    <definedName name="__123Graph_CFOLS" hidden="1">#REF!</definedName>
    <definedName name="__123Graph_CHD1" hidden="1">#REF!</definedName>
    <definedName name="__123Graph_CHD2" hidden="1">#REF!</definedName>
    <definedName name="__123Graph_CHD3" hidden="1">#REF!</definedName>
    <definedName name="__123Graph_CHD4" hidden="1">#REF!</definedName>
    <definedName name="__123Graph_CHD5" hidden="1">#REF!</definedName>
    <definedName name="__123Graph_CJA" hidden="1">#REF!</definedName>
    <definedName name="__123Graph_CJA2" hidden="1">#REF!</definedName>
    <definedName name="__123Graph_CLPG1" hidden="1">#REF!</definedName>
    <definedName name="__123Graph_CLPG2" hidden="1">#REF!</definedName>
    <definedName name="__123Graph_CLPG3" hidden="1">#REF!</definedName>
    <definedName name="__123Graph_CLPG4" hidden="1">#REF!</definedName>
    <definedName name="__123Graph_CLPG5" hidden="1">#REF!</definedName>
    <definedName name="__123Graph_CP20" hidden="1">#REF!</definedName>
    <definedName name="__123Graph_CPICCR" hidden="1">#REF!</definedName>
    <definedName name="__123Graph_CPICPRO" hidden="1">#REF!</definedName>
    <definedName name="__123Graph_CPICULG" hidden="1">#REF!</definedName>
    <definedName name="__123Graph_CPOSTF" hidden="1">#REF!</definedName>
    <definedName name="__123Graph_CPOSTHD" hidden="1">#REF!</definedName>
    <definedName name="__123Graph_CPOSTLPG" hidden="1">#REF!</definedName>
    <definedName name="__123Graph_CPOSTULG" hidden="1">#REF!</definedName>
    <definedName name="__123Graph_CPRO" hidden="1">#REF!</definedName>
    <definedName name="__123Graph_CPRO93" hidden="1">#REF!</definedName>
    <definedName name="__123Graph_CSA" hidden="1">#REF!</definedName>
    <definedName name="__123Graph_CSP1" hidden="1">#REF!</definedName>
    <definedName name="__123Graph_CTEM1" hidden="1">#REF!</definedName>
    <definedName name="__123Graph_CTEMP" hidden="1">#REF!</definedName>
    <definedName name="__123Graph_CTUK" hidden="1">#REF!</definedName>
    <definedName name="__123Graph_CULG1" hidden="1">#REF!</definedName>
    <definedName name="__123Graph_CULG2" hidden="1">#REF!</definedName>
    <definedName name="__123Graph_CULG3" hidden="1">#REF!</definedName>
    <definedName name="__123Graph_CULG4" hidden="1">#REF!</definedName>
    <definedName name="__123Graph_CULG5" hidden="1">#REF!</definedName>
    <definedName name="__123Graph_D1" hidden="1">#REF!</definedName>
    <definedName name="__123Graph_DBRENT" hidden="1">#REF!</definedName>
    <definedName name="__123Graph_DCR" hidden="1">#REF!</definedName>
    <definedName name="__123Graph_DCR2" hidden="1">#REF!</definedName>
    <definedName name="__123Graph_DCR20" hidden="1">#REF!</definedName>
    <definedName name="__123Graph_DCR3" hidden="1">#REF!</definedName>
    <definedName name="__123Graph_DCR4" hidden="1">#REF!</definedName>
    <definedName name="__123Graph_DCR5" hidden="1">#REF!</definedName>
    <definedName name="__123Graph_DCRU" hidden="1">#REF!</definedName>
    <definedName name="__123Graph_DCRU4" hidden="1">#REF!</definedName>
    <definedName name="__123Graph_DF1" hidden="1">#REF!</definedName>
    <definedName name="__123Graph_DF2" hidden="1">#REF!</definedName>
    <definedName name="__123Graph_DF3" hidden="1">#REF!</definedName>
    <definedName name="__123Graph_DF4" hidden="1">#REF!</definedName>
    <definedName name="__123Graph_DFO" hidden="1">#REF!</definedName>
    <definedName name="__123Graph_DHD2" hidden="1">#REF!</definedName>
    <definedName name="__123Graph_DHD3" hidden="1">#REF!</definedName>
    <definedName name="__123Graph_DHD4" hidden="1">#REF!</definedName>
    <definedName name="__123Graph_DHD5" hidden="1">#REF!</definedName>
    <definedName name="__123Graph_DJA" hidden="1">#REF!</definedName>
    <definedName name="__123Graph_DJA2" hidden="1">#REF!</definedName>
    <definedName name="__123Graph_DLPG1" hidden="1">#REF!</definedName>
    <definedName name="__123Graph_DLPG2" hidden="1">#REF!</definedName>
    <definedName name="__123Graph_DLPG3" hidden="1">#REF!</definedName>
    <definedName name="__123Graph_DLPG4" hidden="1">#REF!</definedName>
    <definedName name="__123Graph_DLPG5" hidden="1">#REF!</definedName>
    <definedName name="__123Graph_DP20" hidden="1">#REF!</definedName>
    <definedName name="__123Graph_DPICCR" hidden="1">#REF!</definedName>
    <definedName name="__123Graph_DPICPRO" hidden="1">#REF!</definedName>
    <definedName name="__123Graph_DPICULG" hidden="1">#REF!</definedName>
    <definedName name="__123Graph_DPOSTF" hidden="1">#REF!</definedName>
    <definedName name="__123Graph_DPOSTHD" hidden="1">#REF!</definedName>
    <definedName name="__123Graph_DPOSTLPG" hidden="1">#REF!</definedName>
    <definedName name="__123Graph_DPOSTULG" hidden="1">#REF!</definedName>
    <definedName name="__123Graph_DPRO" hidden="1">#REF!</definedName>
    <definedName name="__123Graph_DPRO93" hidden="1">#REF!</definedName>
    <definedName name="__123Graph_DSA" hidden="1">#REF!</definedName>
    <definedName name="__123Graph_DSP1" hidden="1">#REF!</definedName>
    <definedName name="__123Graph_DTUK" hidden="1">#REF!</definedName>
    <definedName name="__123Graph_DULG1" hidden="1">#REF!</definedName>
    <definedName name="__123Graph_DULG2" hidden="1">#REF!</definedName>
    <definedName name="__123Graph_DULG3" hidden="1">#REF!</definedName>
    <definedName name="__123Graph_DULG4" hidden="1">#REF!</definedName>
    <definedName name="__123Graph_DULG5" hidden="1">#REF!</definedName>
    <definedName name="__123Graph_E1" hidden="1">#REF!</definedName>
    <definedName name="__123Graph_EBRENT" hidden="1">#REF!</definedName>
    <definedName name="__123Graph_ECR" hidden="1">#REF!</definedName>
    <definedName name="__123Graph_ECR2" hidden="1">#REF!</definedName>
    <definedName name="__123Graph_ECR20" hidden="1">#REF!</definedName>
    <definedName name="__123Graph_ECR3" hidden="1">#REF!</definedName>
    <definedName name="__123Graph_ECR4" hidden="1">#REF!</definedName>
    <definedName name="__123Graph_ECR5" hidden="1">#REF!</definedName>
    <definedName name="__123Graph_ECRU" hidden="1">#REF!</definedName>
    <definedName name="__123Graph_ECRU4" hidden="1">#REF!</definedName>
    <definedName name="__123Graph_EHD1" hidden="1">#REF!</definedName>
    <definedName name="__123Graph_EJA" hidden="1">#REF!</definedName>
    <definedName name="__123Graph_EPICCR" hidden="1">#REF!</definedName>
    <definedName name="__123Graph_ESA" hidden="1">#REF!</definedName>
    <definedName name="__123Graph_ETUK" hidden="1">#REF!</definedName>
    <definedName name="__123Graph_X1" hidden="1">#REF!</definedName>
    <definedName name="__123Graph_XCR" hidden="1">#REF!</definedName>
    <definedName name="__123Graph_XF1" hidden="1">#REF!</definedName>
    <definedName name="__123Graph_XF2" hidden="1">#REF!</definedName>
    <definedName name="__123Graph_XF3" hidden="1">#REF!</definedName>
    <definedName name="__123Graph_XF4" hidden="1">#REF!</definedName>
    <definedName name="__123Graph_XFO" hidden="1">#REF!</definedName>
    <definedName name="__123Graph_XFO180" hidden="1">#REF!</definedName>
    <definedName name="__123Graph_XFOLS" hidden="1">#REF!</definedName>
    <definedName name="__123Graph_XHD1" hidden="1">#REF!</definedName>
    <definedName name="__123Graph_XHD2" hidden="1">#REF!</definedName>
    <definedName name="__123Graph_XHD3" hidden="1">#REF!</definedName>
    <definedName name="__123Graph_XHD4" hidden="1">#REF!</definedName>
    <definedName name="__123Graph_XHD5" hidden="1">#REF!</definedName>
    <definedName name="__123Graph_XHSD" hidden="1">#REF!</definedName>
    <definedName name="__123Graph_XJA2" hidden="1">#REF!</definedName>
    <definedName name="__123Graph_XLPG1" hidden="1">#REF!</definedName>
    <definedName name="__123Graph_XLPG2" hidden="1">#REF!</definedName>
    <definedName name="__123Graph_XLPG3" hidden="1">#REF!</definedName>
    <definedName name="__123Graph_XLPG4" hidden="1">#REF!</definedName>
    <definedName name="__123Graph_XLPG5" hidden="1">#REF!</definedName>
    <definedName name="__123Graph_XP20" hidden="1">#REF!</definedName>
    <definedName name="__123Graph_XPICPRO" hidden="1">#REF!</definedName>
    <definedName name="__123Graph_XPICULG" hidden="1">#REF!</definedName>
    <definedName name="__123Graph_XPOSTF" hidden="1">#REF!</definedName>
    <definedName name="__123Graph_XPOSTHD" hidden="1">#REF!</definedName>
    <definedName name="__123Graph_XPOSTLPG" hidden="1">#REF!</definedName>
    <definedName name="__123Graph_XPOSTULG" hidden="1">#REF!</definedName>
    <definedName name="__123Graph_XPRO" hidden="1">#REF!</definedName>
    <definedName name="__123Graph_XPRO93" hidden="1">#REF!</definedName>
    <definedName name="__123Graph_XSP1" hidden="1">#REF!</definedName>
    <definedName name="__123Graph_XTEM1" hidden="1">#REF!</definedName>
    <definedName name="__123Graph_XULG1" hidden="1">#REF!</definedName>
    <definedName name="__123Graph_XULG2" hidden="1">#REF!</definedName>
    <definedName name="__123Graph_XULG3" hidden="1">#REF!</definedName>
    <definedName name="__123Graph_XULG4" hidden="1">#REF!</definedName>
    <definedName name="__123Graph_XULG5" hidden="1">#REF!</definedName>
    <definedName name="__123Graph_XULG92" hidden="1">#REF!</definedName>
    <definedName name="__123Graph_XULG95" hidden="1">#REF!</definedName>
    <definedName name="__123Graph_XULG97" hidden="1">#REF!</definedName>
    <definedName name="__C65550">#REF!</definedName>
    <definedName name="__C65590">#REF!</definedName>
    <definedName name="__C65690">#REF!</definedName>
    <definedName name="__C68800">#REF!</definedName>
    <definedName name="__C69000">#REF!</definedName>
    <definedName name="__C75500">#REF!</definedName>
    <definedName name="__C80500">#REF!</definedName>
    <definedName name="__D65590">#REF!</definedName>
    <definedName name="__GROUP">#REF!</definedName>
    <definedName name="__GROUP_1">#REF!</definedName>
    <definedName name="__GROUP_BAL">#REF!</definedName>
    <definedName name="__GROUP_BAL_1">#REF!</definedName>
    <definedName name="__GROUP_INC">#REF!</definedName>
    <definedName name="__GROUP_INC_1">#REF!</definedName>
    <definedName name="__l1" hidden="1">{#N/A,#N/A,FALSE,"Eff-SSC2"}</definedName>
    <definedName name="__lt04" hidden="1">#REF!</definedName>
    <definedName name="__nes123" hidden="1">{#N/A,#N/A,FALSE,"Eff-SSC2"}</definedName>
    <definedName name="__nes254" hidden="1">{#N/A,#N/A,FALSE,"Eff-SSC2"}</definedName>
    <definedName name="__NHR1">#REF!</definedName>
    <definedName name="__obj05">#REF!</definedName>
    <definedName name="__OBJ2005">#REF!</definedName>
    <definedName name="__Pcs05">#N/A</definedName>
    <definedName name="__Pcs06">#N/A</definedName>
    <definedName name="__Pcs07">#N/A</definedName>
    <definedName name="__Pcs08">#N/A</definedName>
    <definedName name="__pp2" hidden="1">{#N/A,#N/A,FALSE,"Eff-SSC2"}</definedName>
    <definedName name="__rm1">#REF!</definedName>
    <definedName name="__shared_2_0_0">#REF!*#REF!/1000</definedName>
    <definedName name="__shared_2_0_1">(#REF!*#REF!)/1000</definedName>
    <definedName name="__shared_2_0_2">(#REF!*#REF!)/1000</definedName>
    <definedName name="__shared_2_0_3">(#REF!*#REF!)/1000</definedName>
    <definedName name="__shared_2_0_4">(#REF!*#REF!)/1000</definedName>
    <definedName name="__shared_3_0_0">SUM(#REF!)</definedName>
    <definedName name="__SSC2">#N/A</definedName>
    <definedName name="__W37" hidden="1">{#N/A,#N/A,FALSE,"Eff-SSC2"}</definedName>
    <definedName name="__W38" hidden="1">{#N/A,#N/A,FALSE,"Eff-SSC2"}</definedName>
    <definedName name="__w39" hidden="1">{#N/A,#N/A,FALSE,"Eff-SSC2"}</definedName>
    <definedName name="__w40" hidden="1">{#N/A,#N/A,FALSE,"Eff-SSC2"}</definedName>
    <definedName name="__w6" hidden="1">{#N/A,#N/A,FALSE,"Eff-SSC2"}</definedName>
    <definedName name="__wee2" hidden="1">{#N/A,#N/A,FALSE,"Eff-SSC2"}</definedName>
    <definedName name="_1">#REF!</definedName>
    <definedName name="_1002">#REF!</definedName>
    <definedName name="_1003">#REF!</definedName>
    <definedName name="_1004">#REF!</definedName>
    <definedName name="_1005">#REF!</definedName>
    <definedName name="_1006">#REF!</definedName>
    <definedName name="_1008">#REF!</definedName>
    <definedName name="_1009">#REF!</definedName>
    <definedName name="_1010">#REF!</definedName>
    <definedName name="_1012">#REF!</definedName>
    <definedName name="_1013">#REF!</definedName>
    <definedName name="_1014">#REF!</definedName>
    <definedName name="_1015">#REF!</definedName>
    <definedName name="_1016">#REF!</definedName>
    <definedName name="_1017">#REF!</definedName>
    <definedName name="_1018">#REF!</definedName>
    <definedName name="_1019">#REF!</definedName>
    <definedName name="_1020">#REF!</definedName>
    <definedName name="_1021">#REF!</definedName>
    <definedName name="_1022">#REF!</definedName>
    <definedName name="_1023">#REF!</definedName>
    <definedName name="_1024">#REF!</definedName>
    <definedName name="_1025">#REF!</definedName>
    <definedName name="_1026">#REF!</definedName>
    <definedName name="_1038">#REF!</definedName>
    <definedName name="_1045">#REF!</definedName>
    <definedName name="_1048">#REF!</definedName>
    <definedName name="_1052">#REF!</definedName>
    <definedName name="_1068">#REF!</definedName>
    <definedName name="_1069">#REF!</definedName>
    <definedName name="_1111">#REF!</definedName>
    <definedName name="_1112">#REF!</definedName>
    <definedName name="_1113">#REF!</definedName>
    <definedName name="_1114">#REF!</definedName>
    <definedName name="_1115">#REF!</definedName>
    <definedName name="_1138">#REF!</definedName>
    <definedName name="_1152">#REF!</definedName>
    <definedName name="_1153">#REF!</definedName>
    <definedName name="_1160">#REF!</definedName>
    <definedName name="_2" hidden="1">#REF!</definedName>
    <definedName name="_C65550">#REF!</definedName>
    <definedName name="_C65590">#REF!</definedName>
    <definedName name="_C65690">#REF!</definedName>
    <definedName name="_C68800">#REF!</definedName>
    <definedName name="_C69000">#REF!</definedName>
    <definedName name="_C75500">#REF!</definedName>
    <definedName name="_C80500">#REF!</definedName>
    <definedName name="_D65590">#REF!</definedName>
    <definedName name="_Fill" hidden="1">#REF!</definedName>
    <definedName name="_xlnm._FilterDatabase">#REF!</definedName>
    <definedName name="_l1" hidden="1">{#N/A,#N/A,FALSE,"Eff-SSC2"}</definedName>
    <definedName name="_lt04" hidden="1">#REF!</definedName>
    <definedName name="_m">#REF!</definedName>
    <definedName name="_m_1">#REF!</definedName>
    <definedName name="_nes123" hidden="1">{#N/A,#N/A,FALSE,"Eff-SSC2"}</definedName>
    <definedName name="_nes254" hidden="1">{#N/A,#N/A,FALSE,"Eff-SSC2"}</definedName>
    <definedName name="_NHR1">#REF!</definedName>
    <definedName name="_obj05">#REF!</definedName>
    <definedName name="_OBJ2005">#REF!</definedName>
    <definedName name="_Order1" hidden="1">255</definedName>
    <definedName name="_Pcs05">#N/A</definedName>
    <definedName name="_Pcs06">#N/A</definedName>
    <definedName name="_Pcs07">#N/A</definedName>
    <definedName name="_Pcs08">#N/A</definedName>
    <definedName name="_pp2" hidden="1">{#N/A,#N/A,FALSE,"Eff-SSC2"}</definedName>
    <definedName name="_rm1">#REF!</definedName>
    <definedName name="_SSC2">#N/A</definedName>
    <definedName name="_Table1_Out" hidden="1">#REF!</definedName>
    <definedName name="_TAX2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w40" hidden="1">{#N/A,#N/A,FALSE,"Eff-SSC2"}</definedName>
    <definedName name="_w6" hidden="1">{#N/A,#N/A,FALSE,"Eff-SSC2"}</definedName>
    <definedName name="_wee2" hidden="1">{#N/A,#N/A,FALSE,"Eff-SSC2"}</definedName>
    <definedName name="A">#REF!</definedName>
    <definedName name="a_1">NA()</definedName>
    <definedName name="a_2">NA()</definedName>
    <definedName name="a_3">NA()</definedName>
    <definedName name="aa">#REF!</definedName>
    <definedName name="aaa">#REF!</definedName>
    <definedName name="aaaa" hidden="1">{#N/A,#N/A,FALSE,"Eff-SSC2"}</definedName>
    <definedName name="aaaaa" hidden="1">{#N/A,#N/A,FALSE,"Eff-SSC2"}</definedName>
    <definedName name="aaaaaa" hidden="1">{#N/A,#N/A,FALSE,"Eff-SSC2"}</definedName>
    <definedName name="aaaaaaaaa" hidden="1">{#N/A,#N/A,FALSE,"Eff-SSC2"}</definedName>
    <definedName name="AAASHJS" hidden="1">{#N/A,#N/A,FALSE,"Eff-SSC2"}</definedName>
    <definedName name="abc">#REF!</definedName>
    <definedName name="ac_line1.0_" hidden="1">{#N/A,#N/A,FALSE,"Eff-SSC2"}</definedName>
    <definedName name="AC_LINE1.1_" hidden="1">{#N/A,#N/A,FALSE,"Eff-SSC2"}</definedName>
    <definedName name="acc" hidden="1">{#N/A,#N/A,FALSE,"Eff-SSC2"}</definedName>
    <definedName name="Access_Button" hidden="1">"recSPC1_Sheet9_List"</definedName>
    <definedName name="AccessDatabase" hidden="1">"\\Suchart\suchart\ATHAPORN\recSPC1.mdb"</definedName>
    <definedName name="Action">#REF!</definedName>
    <definedName name="ADM">#REF!</definedName>
    <definedName name="ADS">#REF!</definedName>
    <definedName name="afasdfaf">#REF!</definedName>
    <definedName name="afsdfads" hidden="1">{#N/A,#N/A,FALSE,"Eff-SSC2"}</definedName>
    <definedName name="ag" hidden="1">{#N/A,#N/A,FALSE,"Eff-SSC2"}</definedName>
    <definedName name="age" hidden="1">{#N/A,#N/A,FALSE,"Eff-SSC2"}</definedName>
    <definedName name="AirTest_NBR" hidden="1">{#N/A,#N/A,FALSE,"Eff-SSC2"}</definedName>
    <definedName name="AllCountries">#REF!</definedName>
    <definedName name="AllFotory">#REF!</definedName>
    <definedName name="allGroup">#REF!</definedName>
    <definedName name="AllISO">#REF!</definedName>
    <definedName name="ARE_1">#REF!</definedName>
    <definedName name="ARE_2">#REF!</definedName>
    <definedName name="as">#REF!</definedName>
    <definedName name="as_line1.0" hidden="1">{#N/A,#N/A,FALSE,"Eff-SSC2"}</definedName>
    <definedName name="asd" hidden="1">{#N/A,#N/A,FALSE,"Eff-SSC2"}</definedName>
    <definedName name="Assama" hidden="1">{#N/A,#N/A,FALSE,"Eff-SSC2"}</definedName>
    <definedName name="ast">#REF!</definedName>
    <definedName name="ATSeXToEUR" hidden="1">1/EUReXToATS</definedName>
    <definedName name="B">#REF!</definedName>
    <definedName name="b_1">NA()</definedName>
    <definedName name="b_2">NA()</definedName>
    <definedName name="Back">#REF!</definedName>
    <definedName name="BALANCESHEET">#REF!</definedName>
    <definedName name="BANK">#REF!</definedName>
    <definedName name="base">#REF!</definedName>
    <definedName name="BB" hidden="1">1/EUReXToATS</definedName>
    <definedName name="BBCALCU">#REF!</definedName>
    <definedName name="bbd" hidden="1">{#N/A,#N/A,FALSE,"Eff-SSC2"}</definedName>
    <definedName name="BC00Balance">#REF!</definedName>
    <definedName name="BC04Invent">#REF!</definedName>
    <definedName name="BC14PPE">#REF!</definedName>
    <definedName name="BCExport">#REF!</definedName>
    <definedName name="BEFeXToEUR" hidden="1">1/EUReXToBEF</definedName>
    <definedName name="Benchmarkcomparison06_07" hidden="1">{#N/A,#N/A,FALSE,"Eff-SSC2"}</definedName>
    <definedName name="bersaff" hidden="1">{#N/A,#N/A,FALSE,"Eff-SSC2"}</definedName>
    <definedName name="bld">#REF!</definedName>
    <definedName name="BONUS1">#REF!</definedName>
    <definedName name="BORROWINGBASE">#REF!</definedName>
    <definedName name="BS">#REF!</definedName>
    <definedName name="BTU">#REF!</definedName>
    <definedName name="BTU_16">#REF!</definedName>
    <definedName name="BTU_17">#REF!</definedName>
    <definedName name="BTU_18">#REF!</definedName>
    <definedName name="BTU_19">#REF!</definedName>
    <definedName name="BTU_20">#REF!</definedName>
    <definedName name="BTU_21">#REF!</definedName>
    <definedName name="BTU_22">#REF!</definedName>
    <definedName name="BTU_23">#REF!</definedName>
    <definedName name="BTU_24">#REF!</definedName>
    <definedName name="BTU_25">#REF!</definedName>
    <definedName name="BTU_26">#REF!</definedName>
    <definedName name="budget" hidden="1">{#N/A,#N/A,FALSE,"Eff-SSC2"}</definedName>
    <definedName name="bvr" hidden="1">{#N/A,#N/A,FALSE,"Eff-SSC2"}</definedName>
    <definedName name="C_">#REF!</definedName>
    <definedName name="ca" hidden="1">{#N/A,#N/A,FALSE,"Eff-SSC2"}</definedName>
    <definedName name="Cal_16">#REF!</definedName>
    <definedName name="Cal_17">#REF!</definedName>
    <definedName name="Cal_18">#REF!</definedName>
    <definedName name="Cal_19">#REF!</definedName>
    <definedName name="Cal_20">#REF!</definedName>
    <definedName name="Cal_21">#REF!</definedName>
    <definedName name="Cal_22">#REF!</definedName>
    <definedName name="Cal_23">#REF!</definedName>
    <definedName name="Cal_24">#REF!</definedName>
    <definedName name="Cal_25">#REF!</definedName>
    <definedName name="Cal_26">#REF!</definedName>
    <definedName name="cap">#REF!</definedName>
    <definedName name="CASHFLOW">#REF!</definedName>
    <definedName name="CAT">#REF!</definedName>
    <definedName name="cc">#REF!</definedName>
    <definedName name="cell_Import">#REF!</definedName>
    <definedName name="cell_Lang">#REF!</definedName>
    <definedName name="CHA">#REF!</definedName>
    <definedName name="CHAB">#REF!</definedName>
    <definedName name="chalerm">#REF!</definedName>
    <definedName name="Chemist" hidden="1">{#N/A,#N/A,FALSE,"Eff-SSC2"}</definedName>
    <definedName name="chhch" hidden="1">{#N/A,#N/A,FALSE,"Eff-SSC2"}</definedName>
    <definedName name="chutikarn" hidden="1">{#N/A,#N/A,FALSE,"Eff-SSC2"}</definedName>
    <definedName name="CM1_SSC1_M01" hidden="1">{#N/A,#N/A,FALSE,"Eff-SSC2"}</definedName>
    <definedName name="CODE">#REF!</definedName>
    <definedName name="CODE_A_R">#REF!</definedName>
    <definedName name="CODEDES">#REF!</definedName>
    <definedName name="com">#REF!</definedName>
    <definedName name="commm">#REF!</definedName>
    <definedName name="compare">#REF!</definedName>
    <definedName name="Complainant">#REF!</definedName>
    <definedName name="Complete">#REF!</definedName>
    <definedName name="COST">#REF!</definedName>
    <definedName name="COUNTRY">#REF!</definedName>
    <definedName name="COVENENTS">#REF!</definedName>
    <definedName name="cycleMinMC1">#REF!</definedName>
    <definedName name="cycleMinMc2">#REF!</definedName>
    <definedName name="CycleMinMc3">#REF!</definedName>
    <definedName name="CycleMinMc4">#REF!</definedName>
    <definedName name="CycleMinMc5">#REF!</definedName>
    <definedName name="D">#REF!</definedName>
    <definedName name="daiti" hidden="1">{#N/A,#N/A,FALSE,"Eff-SSC2"}</definedName>
    <definedName name="data_day1">#REF!</definedName>
    <definedName name="data_day1_1">#REF!</definedName>
    <definedName name="DATA1">#REF!</definedName>
    <definedName name="DATA10">#REF!</definedName>
    <definedName name="DATA1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d" hidden="1">{#N/A,#N/A,FALSE,"Eff-SSC2"}</definedName>
    <definedName name="ddd">#REF!</definedName>
    <definedName name="dddd">#REF!</definedName>
    <definedName name="DEMeXToEUR" hidden="1">1/EUReXToDEM</definedName>
    <definedName name="DEP">OFFSET(#REF!,0,0,COUNTA(#REF!)-3,1)</definedName>
    <definedName name="df">#REF!</definedName>
    <definedName name="dfsd">#REF!</definedName>
    <definedName name="dge">#REF!</definedName>
    <definedName name="dimen">#REF!</definedName>
    <definedName name="Direct_Labor">#REF!</definedName>
    <definedName name="Direct_Material">#REF!</definedName>
    <definedName name="dksajfkd" hidden="1">{#N/A,#N/A,FALSE,"Eff-SSC2"}</definedName>
    <definedName name="DLF">OFFSET(#REF!,0,0,COUNTA(#REF!)-3,1)</definedName>
    <definedName name="DMPM">OFFSET(#REF!,0,0,COUNTA(#REF!)-3,1)</definedName>
    <definedName name="DNP">OFFSET(#REF!,0,0,COUNTA(#REF!)-3,1)</definedName>
    <definedName name="DOG">#REF!</definedName>
    <definedName name="donm">#REF!</definedName>
    <definedName name="dss">#REF!</definedName>
    <definedName name="E">#REF!</definedName>
    <definedName name="e_1">NA()</definedName>
    <definedName name="e_2">NA()</definedName>
    <definedName name="e_3">NA()</definedName>
    <definedName name="EarlyWarning">#REF!</definedName>
    <definedName name="edf" hidden="1">#REF!</definedName>
    <definedName name="eds" hidden="1">#REF!</definedName>
    <definedName name="ee">NA()</definedName>
    <definedName name="ee_1">NA()</definedName>
    <definedName name="ee_2">NA()</definedName>
    <definedName name="eee">#REF!</definedName>
    <definedName name="eeeee">#REF!</definedName>
    <definedName name="eer" hidden="1">{#N/A,#N/A,FALSE,"Eff-SSC2"}</definedName>
    <definedName name="Ein">#REF!</definedName>
    <definedName name="EN.Hatsanai" hidden="1">{#N/A,#N/A,FALSE,"Eff-SSC2"}</definedName>
    <definedName name="Eout">#REF!</definedName>
    <definedName name="er" hidden="1">{#N/A,#N/A,FALSE,"Eff-SSC2"}</definedName>
    <definedName name="ertetz" hidden="1">1/EUReXToDEM</definedName>
    <definedName name="ESPeXToEUR" hidden="1">1/EUReXToESP</definedName>
    <definedName name="Excel_BuiltIn__FilterDatabase_1">"$'ค่าไฟฟ้าTOAP ด้านหลัง'.$#REF!$#REF!:$#REF!$#REF!"</definedName>
    <definedName name="Excel_BuiltIn__FilterDatabase_2">#REF!</definedName>
    <definedName name="Excel_BuiltIn_Print_Area_17">"$#REF!.$#REF!$#REF!"</definedName>
    <definedName name="Excel_BuiltIn_Print_Area_2">#REF!</definedName>
    <definedName name="Expense">#REF!</definedName>
    <definedName name="EXPORT">#REF!</definedName>
    <definedName name="F">#REF!</definedName>
    <definedName name="F_EP">OFFSET(#REF!,0,0,COUNTA(#REF!)-2,1)</definedName>
    <definedName name="F_Fuel_HEAT_V">#REF!</definedName>
    <definedName name="F_Group">#REF!</definedName>
    <definedName name="F_LF">OFFSET(#REF!,0,0,COUNTA(#REF!)-2,1)</definedName>
    <definedName name="F_MPM">OFFSET(#REF!,0,0,COUNTA(#REF!)-2,1)</definedName>
    <definedName name="F_NP">OFFSET(#REF!,0,0,COUNTA(#REF!)-2,1)</definedName>
    <definedName name="fac">"$#REF!.$#REF!$#REF!"</definedName>
    <definedName name="Factor" hidden="1">{#N/A,#N/A,FALSE,"Eff-SSC2"}</definedName>
    <definedName name="Factory_Overhead">#REF!</definedName>
    <definedName name="fat">#REF!</definedName>
    <definedName name="fdd">#REF!</definedName>
    <definedName name="fdgdfg" hidden="1">{#N/A,#N/A,FALSE,"Eff-SSC2"}</definedName>
    <definedName name="fdsgg" hidden="1">{#N/A,#N/A,FALSE,"Eff-SSC2"}</definedName>
    <definedName name="Federal_Income_Tax">#REF!</definedName>
    <definedName name="ff">NA()</definedName>
    <definedName name="ff_1">NA()</definedName>
    <definedName name="ff_2">NA()</definedName>
    <definedName name="ffd">#REF!</definedName>
    <definedName name="fff">NA()</definedName>
    <definedName name="fff_1">NA()</definedName>
    <definedName name="fff_2">NA()</definedName>
    <definedName name="fffgr" hidden="1">#REF!</definedName>
    <definedName name="fg">#REF!</definedName>
    <definedName name="fgdr" hidden="1">{#N/A,#N/A,FALSE,"Eff-SSC2"}</definedName>
    <definedName name="FGF" hidden="1">{#N/A,#N/A,FALSE,"Eff-SSC2"}</definedName>
    <definedName name="fgr" hidden="1">{#N/A,#N/A,FALSE,"Eff-SSC2"}</definedName>
    <definedName name="fill" hidden="1">#REF!</definedName>
    <definedName name="FIMeXToEUR" hidden="1">1/EUReXToFIM</definedName>
    <definedName name="Fixed_Costs">#REF!</definedName>
    <definedName name="fl" hidden="1">{#N/A,#N/A,FALSE,"Eff-SSC2"}</definedName>
    <definedName name="fl0w">#REF!</definedName>
    <definedName name="flow" hidden="1">#REF!</definedName>
    <definedName name="fm_เพิ่มกำลังการผลิตจากปี_2545">#REF!</definedName>
    <definedName name="fm_อัตราส่วนกำไรต่อยอดขาย">#REF!</definedName>
    <definedName name="fn" hidden="1">{#N/A,#N/A,FALSE,"Eff-SSC2"}</definedName>
    <definedName name="Foctory">#REF!</definedName>
    <definedName name="Follow">#REF!</definedName>
    <definedName name="Forecast" hidden="1">{#N/A,#N/A,FALSE,"Eff-SSC2"}</definedName>
    <definedName name="fr" hidden="1">#REF!</definedName>
    <definedName name="FRFeXToEUR" hidden="1">1/EUReXToFRF</definedName>
    <definedName name="frtz" hidden="1">1/EUReXToLUF</definedName>
    <definedName name="fs">#REF!</definedName>
    <definedName name="Fuel">#REF!</definedName>
    <definedName name="Fuel_10">#REF!</definedName>
    <definedName name="Fuel_11">#REF!</definedName>
    <definedName name="Fuel_12">#REF!</definedName>
    <definedName name="Fuel_13">#REF!</definedName>
    <definedName name="Fuel_14">#REF!</definedName>
    <definedName name="Fuel_15">#REF!</definedName>
    <definedName name="Fuel_16">#REF!</definedName>
    <definedName name="Fuel_17">#REF!</definedName>
    <definedName name="Fuel_18">#REF!</definedName>
    <definedName name="Fuel_19">#REF!</definedName>
    <definedName name="Fuel_20">#REF!</definedName>
    <definedName name="Fuel_21">#REF!</definedName>
    <definedName name="Fuel_22">#REF!</definedName>
    <definedName name="Fuel_23">#REF!</definedName>
    <definedName name="Fuel_24">#REF!</definedName>
    <definedName name="Fuel_25">#REF!</definedName>
    <definedName name="Fuel_26">#REF!</definedName>
    <definedName name="Fuel_5">#REF!</definedName>
    <definedName name="Fuel_6">#REF!</definedName>
    <definedName name="Fuel_7">#REF!</definedName>
    <definedName name="Fuel_8">#REF!</definedName>
    <definedName name="Fuel_9">#REF!</definedName>
    <definedName name="Fuel_i_10">#REF!</definedName>
    <definedName name="Fuel_i_11">#REF!</definedName>
    <definedName name="Fuel_i_12">#REF!</definedName>
    <definedName name="Fuel_i_13">#REF!</definedName>
    <definedName name="Fuel_i_14">#REF!</definedName>
    <definedName name="Fuel_i_15">#REF!</definedName>
    <definedName name="Fuel_i_16">#REF!</definedName>
    <definedName name="Fuel_i_17">#REF!</definedName>
    <definedName name="Fuel_i_18">#REF!</definedName>
    <definedName name="Fuel_i_19">#REF!</definedName>
    <definedName name="Fuel_i_20">#REF!</definedName>
    <definedName name="Fuel_i_21">#REF!</definedName>
    <definedName name="Fuel_i_22">#REF!</definedName>
    <definedName name="Fuel_i_23">#REF!</definedName>
    <definedName name="Fuel_i_24">#REF!</definedName>
    <definedName name="Fuel_i_25">#REF!</definedName>
    <definedName name="Fuel_i_26">#REF!</definedName>
    <definedName name="Fuel_i_5">#REF!</definedName>
    <definedName name="Fuel_i_6">#REF!</definedName>
    <definedName name="Fuel_i_7">#REF!</definedName>
    <definedName name="Fuel_i_8">#REF!</definedName>
    <definedName name="Fuel_i_9">#REF!</definedName>
    <definedName name="Fuel_in">#REF!</definedName>
    <definedName name="FuelEnergy">#REF!</definedName>
    <definedName name="FUND1">#REF!</definedName>
    <definedName name="FUND2">#REF!</definedName>
    <definedName name="fy">#REF!</definedName>
    <definedName name="G">#REF!</definedName>
    <definedName name="G00Income">#REF!</definedName>
    <definedName name="gas_2">#REF!</definedName>
    <definedName name="gdfsg" hidden="1">{#N/A,#N/A,FALSE,"Eff-SSC2"}</definedName>
    <definedName name="gfdsafds" hidden="1">{#N/A,#N/A,FALSE,"Eff-SSC2"}</definedName>
    <definedName name="gfgf" hidden="1">{#N/A,#N/A,FALSE,"Eff-SSC2"}</definedName>
    <definedName name="gg">NA()</definedName>
    <definedName name="gg_1">NA()</definedName>
    <definedName name="gg_2">NA()</definedName>
    <definedName name="gh" hidden="1">{#N/A,#N/A,FALSE,"Eff-SSC2"}</definedName>
    <definedName name="gig">#REF!</definedName>
    <definedName name="gk" hidden="1">{#N/A,#N/A,FALSE,"Eff-SSC2"}</definedName>
    <definedName name="goo">#REF!</definedName>
    <definedName name="Graph_TTL">{#N/A,#N/A,FALSE,"Eff-SSC2"}</definedName>
    <definedName name="grd">#REF!</definedName>
    <definedName name="Gross">#REF!</definedName>
    <definedName name="Gross_10">#REF!</definedName>
    <definedName name="Gross_11">#REF!</definedName>
    <definedName name="Gross_12">#REF!</definedName>
    <definedName name="Gross_13">#REF!</definedName>
    <definedName name="Gross_14">#REF!</definedName>
    <definedName name="Gross_15">#REF!</definedName>
    <definedName name="Gross_16">#REF!</definedName>
    <definedName name="Gross_17">#REF!</definedName>
    <definedName name="Gross_18">#REF!</definedName>
    <definedName name="Gross_19">#REF!</definedName>
    <definedName name="Gross_20">#REF!</definedName>
    <definedName name="Gross_21">#REF!</definedName>
    <definedName name="Gross_22">#REF!</definedName>
    <definedName name="Gross_23">#REF!</definedName>
    <definedName name="Gross_24">#REF!</definedName>
    <definedName name="Gross_25">#REF!</definedName>
    <definedName name="Gross_26">#REF!</definedName>
    <definedName name="Gross_5">#REF!</definedName>
    <definedName name="Gross_6">#REF!</definedName>
    <definedName name="Gross_7">#REF!</definedName>
    <definedName name="Gross_8">#REF!</definedName>
    <definedName name="Gross_9">#REF!</definedName>
    <definedName name="growth">#REF!</definedName>
    <definedName name="H">#REF!</definedName>
    <definedName name="HAE_YOUNG">#REF!</definedName>
    <definedName name="HE">#REF!</definedName>
    <definedName name="HEAD">#REF!</definedName>
    <definedName name="HELP">#REF!</definedName>
    <definedName name="hf" hidden="1">{#N/A,#N/A,FALSE,"Eff-SSC2"}</definedName>
    <definedName name="hfs">#REF!</definedName>
    <definedName name="hgddfgf" hidden="1">{#N/A,#N/A,FALSE,"Eff-SSC2"}</definedName>
    <definedName name="hh">#REF!</definedName>
    <definedName name="hhfgh" hidden="1">{#N/A,#N/A,FALSE,"Eff-SSC2"}</definedName>
    <definedName name="HHH" hidden="1">{#N/A,#N/A,FALSE,"Eff-SSC2"}</definedName>
    <definedName name="High_Unit_Volume_Tested">#REF!</definedName>
    <definedName name="HJ" hidden="1">{#N/A,#N/A,FALSE,"Eff-SSC2"}</definedName>
    <definedName name="hjghjgjhg" hidden="1">{#N/A,#N/A,FALSE,"Eff-SSC2"}</definedName>
    <definedName name="hr" hidden="1">{#N/A,#N/A,FALSE,"Eff-SSC2"}</definedName>
    <definedName name="hsgraa">#REF!</definedName>
    <definedName name="HTML_CodePage" hidden="1">874</definedName>
    <definedName name="HTML_Control" hidden="1">{"'Inpro'!$L$10","'Spec '!$C$28:$M$31"}</definedName>
    <definedName name="HTML_Description" hidden="1">""</definedName>
    <definedName name="HTML_Email" hidden="1">""</definedName>
    <definedName name="HTML_Header" hidden="1">"Inpro"</definedName>
    <definedName name="HTML_LastUpdate" hidden="1">"26/4/01"</definedName>
    <definedName name="HTML_LineAfter" hidden="1">TRUE</definedName>
    <definedName name="HTML_LineBefore" hidden="1">TRUE</definedName>
    <definedName name="HTML_Name" hidden="1">"SAC."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"Rubber Leg2"</definedName>
    <definedName name="htrhthth">#REF!</definedName>
    <definedName name="hugjgjgjgjg" hidden="1">{#N/A,#N/A,FALSE,"Eff-SSC2"}</definedName>
    <definedName name="I">#REF!</definedName>
    <definedName name="ICIE">#REF!</definedName>
    <definedName name="iefl">#REF!</definedName>
    <definedName name="IEPeXToEUR" hidden="1">1/EUReXToIEP</definedName>
    <definedName name="IGE">#REF!</definedName>
    <definedName name="iiii" hidden="1">{#N/A,#N/A,FALSE,"Eff-SSC2"}</definedName>
    <definedName name="iksjw">#REF!</definedName>
    <definedName name="In" hidden="1">{#N/A,#N/A,FALSE,"Eff-SSC2"}</definedName>
    <definedName name="INCOMESTATEMENT">#REF!</definedName>
    <definedName name="Increments">5</definedName>
    <definedName name="isprint">#REF!</definedName>
    <definedName name="ITLeXToEUR" hidden="1">1/EUReXToITL</definedName>
    <definedName name="J">#REF!</definedName>
    <definedName name="J._16">#REF!</definedName>
    <definedName name="J._17">#REF!</definedName>
    <definedName name="J._18">#REF!</definedName>
    <definedName name="J._19">#REF!</definedName>
    <definedName name="J._20">#REF!</definedName>
    <definedName name="J._21">#REF!</definedName>
    <definedName name="J._22">#REF!</definedName>
    <definedName name="J._23">#REF!</definedName>
    <definedName name="J._24">#REF!</definedName>
    <definedName name="J._25">#REF!</definedName>
    <definedName name="J._26">#REF!</definedName>
    <definedName name="jdya">#REF!</definedName>
    <definedName name="jh." hidden="1">{#N/A,#N/A,FALSE,"Eff-SSC2"}</definedName>
    <definedName name="jj" hidden="1">{#N/A,#N/A,FALSE,"Eff-SSC2"}</definedName>
    <definedName name="jjj" hidden="1">{#N/A,#N/A,FALSE,"Eff-SSC2"}</definedName>
    <definedName name="jkh" hidden="1">1/EUReXToATS</definedName>
    <definedName name="jrtv">#REF!</definedName>
    <definedName name="k">#REF!</definedName>
    <definedName name="kdpiois">#REF!</definedName>
    <definedName name="Keerin">#REF!</definedName>
    <definedName name="khgh">#REF!</definedName>
    <definedName name="khjkh" hidden="1">{#N/A,#N/A,FALSE,"Eff-SSC2"}</definedName>
    <definedName name="kJ">#REF!</definedName>
    <definedName name="kkk" hidden="1">#REF!</definedName>
    <definedName name="KLLL" hidden="1">{#N/A,#N/A,FALSE,"Eff-SSC2"}</definedName>
    <definedName name="klp" hidden="1">{#N/A,#N/A,FALSE,"Eff-SSC2"}</definedName>
    <definedName name="koranis10" hidden="1">{#N/A,#N/A,FALSE,"Eff-SSC2"}</definedName>
    <definedName name="kpi" hidden="1">{#N/A,#N/A,FALSE,"Eff-SSC2"}</definedName>
    <definedName name="ku">#REF!</definedName>
    <definedName name="KUNG">#REF!</definedName>
    <definedName name="kuueks">#REF!</definedName>
    <definedName name="kuujjed">#REF!</definedName>
    <definedName name="l">#REF!</definedName>
    <definedName name="LA">#REF!</definedName>
    <definedName name="Land">#REF!</definedName>
    <definedName name="Latex_Weight" hidden="1">{#N/A,#N/A,FALSE,"Eff-SSC2"}</definedName>
    <definedName name="LHV">#REF!</definedName>
    <definedName name="line" hidden="1">{#N/A,#N/A,FALSE,"Eff-SSC2"}</definedName>
    <definedName name="line2" hidden="1">{#N/A,#N/A,FALSE,"Eff-SSC2"}</definedName>
    <definedName name="ListFBR">#REF!</definedName>
    <definedName name="lj">#REF!</definedName>
    <definedName name="ll" hidden="1">{#N/A,#N/A,FALSE,"Eff-SSC2"}</definedName>
    <definedName name="lll">#REF!</definedName>
    <definedName name="llll">#REF!</definedName>
    <definedName name="lo" hidden="1">{#N/A,#N/A,FALSE,"Eff-SSC2"}</definedName>
    <definedName name="Low_Unit_Volume_Tested">#REF!</definedName>
    <definedName name="LTX">#REF!</definedName>
    <definedName name="LUFeXToEUR" hidden="1">1/EUReXToLUF</definedName>
    <definedName name="M">#REF!</definedName>
    <definedName name="maneeratr" hidden="1">#REF!</definedName>
    <definedName name="Meal_BakeryQ1">#REF!</definedName>
    <definedName name="meetting">#REF!</definedName>
    <definedName name="meetting201204">#REF!</definedName>
    <definedName name="MH" hidden="1">{#N/A,#N/A,FALSE,"Eff-SSC2"}</definedName>
    <definedName name="mj" hidden="1">{#N/A,#N/A,FALSE,"Eff-SSC2"}</definedName>
    <definedName name="mm" hidden="1">{#N/A,#N/A,FALSE,"Eff-SSC2"}</definedName>
    <definedName name="MmExcelLinker_D7A5736C_7C46_46B7_964F_C65DBB793BE7">NA()</definedName>
    <definedName name="MmExcelLinker_D7A5736C_7C46_46B7_964F_C65DBB793BE7_1">NA()</definedName>
    <definedName name="MmExcelLinker_D7A5736C_7C46_46B7_964F_C65DBB793BE7_2">NA()</definedName>
    <definedName name="MmExcelLinker_D7A5736C_7C46_46B7_964F_C65DBB793BE7_3">NA()</definedName>
    <definedName name="MONTHL1">#REF!</definedName>
    <definedName name="monthly3" hidden="1">{#N/A,#N/A,FALSE,"Eff-SSC2"}</definedName>
    <definedName name="moo" hidden="1">{#N/A,#N/A,FALSE,"Eff-SSC2"}</definedName>
    <definedName name="n" hidden="1">{#N/A,#N/A,FALSE,"Eff-SSC2"}</definedName>
    <definedName name="name">#REF!</definedName>
    <definedName name="narisa">#REF!</definedName>
    <definedName name="nbj" hidden="1">{#N/A,#N/A,FALSE,"Eff-SSC2"}</definedName>
    <definedName name="nbr" hidden="1">{#N/A,#N/A,FALSE,"Eff-SSC2"}</definedName>
    <definedName name="nes" hidden="1">{#N/A,#N/A,FALSE,"Eff-SSC2"}</definedName>
    <definedName name="Net">#REF!</definedName>
    <definedName name="Net_10">#REF!</definedName>
    <definedName name="Net_11">#REF!</definedName>
    <definedName name="Net_12">#REF!</definedName>
    <definedName name="Net_13">#REF!</definedName>
    <definedName name="Net_14">#REF!</definedName>
    <definedName name="Net_15">#REF!</definedName>
    <definedName name="Net_16">#REF!</definedName>
    <definedName name="Net_17">#REF!</definedName>
    <definedName name="Net_18">#REF!</definedName>
    <definedName name="Net_19">#REF!</definedName>
    <definedName name="Net_20">#REF!</definedName>
    <definedName name="Net_21">#REF!</definedName>
    <definedName name="Net_22">#REF!</definedName>
    <definedName name="Net_23">#REF!</definedName>
    <definedName name="Net_24">#REF!</definedName>
    <definedName name="Net_25">#REF!</definedName>
    <definedName name="Net_26">#REF!</definedName>
    <definedName name="Net_5">#REF!</definedName>
    <definedName name="Net_6">#REF!</definedName>
    <definedName name="Net_7">#REF!</definedName>
    <definedName name="Net_8">#REF!</definedName>
    <definedName name="Net_9">#REF!</definedName>
    <definedName name="new">#REF!</definedName>
    <definedName name="NHR" hidden="1">{#N/A,#N/A,FALSE,"Eff-SSC2"}</definedName>
    <definedName name="NHR_a">#REF!</definedName>
    <definedName name="NLGeXToEUR" hidden="1">1/EUReXToNLG</definedName>
    <definedName name="nn" hidden="1">{#N/A,#N/A,FALSE,"Eff-SSC2"}</definedName>
    <definedName name="No">!A1048576+1</definedName>
    <definedName name="NOMURA">#REF!</definedName>
    <definedName name="nr" hidden="1">{#N/A,#N/A,FALSE,"Eff-SSC2"}</definedName>
    <definedName name="NSNSSS" hidden="1">{#N/A,#N/A,FALSE,"Eff-SSC2"}</definedName>
    <definedName name="o" hidden="1">1/EUReXToATS</definedName>
    <definedName name="OBJ">#REF!</definedName>
    <definedName name="Obj_Deptnew" hidden="1">{#N/A,#N/A,FALSE,"Eff-SSC2"}</definedName>
    <definedName name="OBJ_TS2005">#REF!</definedName>
    <definedName name="Oh">#REF!</definedName>
    <definedName name="ok" hidden="1">{#N/A,#N/A,FALSE,"Eff-SSC2"}</definedName>
    <definedName name="oo" hidden="1">{#N/A,#N/A,FALSE,"Eff-SSC2"}</definedName>
    <definedName name="oog">#REF!</definedName>
    <definedName name="oooo" hidden="1">{#N/A,#N/A,FALSE,"Eff-SSC2"}</definedName>
    <definedName name="orn" hidden="1">{#N/A,#N/A,FALSE,"Eff-SSC2"}</definedName>
    <definedName name="Other_Vary_Profit_Costs">#REF!</definedName>
    <definedName name="Other_Vary_Revenue_Costs">#REF!</definedName>
    <definedName name="Other_Vary_Unit_Costs">#REF!</definedName>
    <definedName name="p" hidden="1">{#N/A,#N/A,FALSE,"Eff-SSC2"}</definedName>
    <definedName name="PAICHOT" hidden="1">{#N/A,#N/A,FALSE,"Eff-SSC2"}</definedName>
    <definedName name="Pcap">#REF!</definedName>
    <definedName name="pcs" hidden="1">{#N/A,#N/A,FALSE,"Eff-SSC2"}</definedName>
    <definedName name="PCS_MAN">#REF!</definedName>
    <definedName name="PDDR" hidden="1">#REF!</definedName>
    <definedName name="PDelRange">#REF!,#REF!,#REF!,#REF!,#REF!,#REF!,#REF!,#REF!</definedName>
    <definedName name="ped" hidden="1">{#N/A,#N/A,FALSE,"Eff-SSC2"}</definedName>
    <definedName name="Perf" hidden="1">{#N/A,#N/A,FALSE,"Eff-SSC2"}</definedName>
    <definedName name="pH">#REF!</definedName>
    <definedName name="pi">#REF!</definedName>
    <definedName name="PI_PR_2">#REF!</definedName>
    <definedName name="pice" hidden="1">{#N/A,#N/A,FALSE,"Eff-SSC2"}</definedName>
    <definedName name="pk" hidden="1">1/EUReXToPTE</definedName>
    <definedName name="PL">#REF!</definedName>
    <definedName name="PL_LINE">#REF!</definedName>
    <definedName name="PoEnergy">#REF!</definedName>
    <definedName name="poi" hidden="1">{#N/A,#N/A,FALSE,"Eff-SSC2"}</definedName>
    <definedName name="pop" hidden="1">{#N/A,#N/A,FALSE,"Eff-SSC2"}</definedName>
    <definedName name="PopCache_GL_INTERFACE_REFERENCE7" hidden="1">#REF!</definedName>
    <definedName name="pornprom" hidden="1">{#N/A,#N/A,FALSE,"Eff-SSC2"}</definedName>
    <definedName name="pornpromk" hidden="1">{#N/A,#N/A,FALSE,"Eff-SSC2"}</definedName>
    <definedName name="Power_10">#REF!</definedName>
    <definedName name="Power_11">#REF!</definedName>
    <definedName name="Power_12">#REF!</definedName>
    <definedName name="Power_13">#REF!</definedName>
    <definedName name="Power_14">#REF!</definedName>
    <definedName name="Power_15">#REF!</definedName>
    <definedName name="Power_16">#REF!</definedName>
    <definedName name="Power_17">#REF!</definedName>
    <definedName name="Power_18">#REF!</definedName>
    <definedName name="Power_19">#REF!</definedName>
    <definedName name="Power_20">#REF!</definedName>
    <definedName name="Power_21">#REF!</definedName>
    <definedName name="Power_22">#REF!</definedName>
    <definedName name="Power_23">#REF!</definedName>
    <definedName name="Power_24">#REF!</definedName>
    <definedName name="Power_25">#REF!</definedName>
    <definedName name="Power_26">#REF!</definedName>
    <definedName name="Power_5">#REF!</definedName>
    <definedName name="Power_6">#REF!</definedName>
    <definedName name="Power_7">#REF!</definedName>
    <definedName name="Power_8">#REF!</definedName>
    <definedName name="Power_9">#REF!</definedName>
    <definedName name="Power_i_10">#REF!</definedName>
    <definedName name="Power_i_11">#REF!</definedName>
    <definedName name="Power_i_12">#REF!</definedName>
    <definedName name="Power_i_13">#REF!</definedName>
    <definedName name="Power_i_14">#REF!</definedName>
    <definedName name="Power_i_15">#REF!</definedName>
    <definedName name="Power_i_16">#REF!</definedName>
    <definedName name="Power_i_17">#REF!</definedName>
    <definedName name="Power_i_18">#REF!</definedName>
    <definedName name="Power_i_19">#REF!</definedName>
    <definedName name="Power_i_20">#REF!</definedName>
    <definedName name="Power_i_21">#REF!</definedName>
    <definedName name="Power_i_22">#REF!</definedName>
    <definedName name="Power_i_23">#REF!</definedName>
    <definedName name="Power_i_24">#REF!</definedName>
    <definedName name="Power_i_25">#REF!</definedName>
    <definedName name="Power_i_26">#REF!</definedName>
    <definedName name="Power_i_5">#REF!</definedName>
    <definedName name="Power_i_6">#REF!</definedName>
    <definedName name="Power_i_7">#REF!</definedName>
    <definedName name="Power_i_8">#REF!</definedName>
    <definedName name="Power_i_9">#REF!</definedName>
    <definedName name="Power_o">#REF!</definedName>
    <definedName name="Power_o_10">#REF!</definedName>
    <definedName name="Power_o_11">#REF!</definedName>
    <definedName name="Power_o_12">#REF!</definedName>
    <definedName name="Power_o_13">#REF!</definedName>
    <definedName name="Power_o_14">#REF!</definedName>
    <definedName name="Power_o_15">#REF!</definedName>
    <definedName name="Power_o_16">#REF!</definedName>
    <definedName name="Power_o_17">#REF!</definedName>
    <definedName name="Power_o_18">#REF!</definedName>
    <definedName name="Power_o_19">#REF!</definedName>
    <definedName name="Power_o_20">#REF!</definedName>
    <definedName name="Power_o_21">#REF!</definedName>
    <definedName name="Power_o_22">#REF!</definedName>
    <definedName name="Power_o_23">#REF!</definedName>
    <definedName name="Power_o_24">#REF!</definedName>
    <definedName name="Power_o_25">#REF!</definedName>
    <definedName name="Power_o_26">#REF!</definedName>
    <definedName name="Power_o_5">#REF!</definedName>
    <definedName name="Power_o_6">#REF!</definedName>
    <definedName name="Power_o_7">#REF!</definedName>
    <definedName name="Power_o_8">#REF!</definedName>
    <definedName name="Power_o_9">#REF!</definedName>
    <definedName name="pp" hidden="1">{#N/A,#N/A,FALSE,"Eff-SSC2"}</definedName>
    <definedName name="ppp" hidden="1">{#N/A,#N/A,FALSE,"Eff-SSC2"}</definedName>
    <definedName name="Present">#N/A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be" hidden="1">1/EUReXToATS</definedName>
    <definedName name="Production" hidden="1">{#N/A,#N/A,FALSE,"Eff-SSC2"}</definedName>
    <definedName name="productivity">#REF!</definedName>
    <definedName name="project" hidden="1">{#N/A,#N/A,FALSE,"Eff-SSC2"}</definedName>
    <definedName name="Project2" hidden="1">{#N/A,#N/A,FALSE,"Eff-SSC2"}</definedName>
    <definedName name="protein">#REF!</definedName>
    <definedName name="pse" hidden="1">{#N/A,#N/A,FALSE,"Eff-SSC2"}</definedName>
    <definedName name="PTEeXToEUR" hidden="1">1/EUReXToPTE</definedName>
    <definedName name="pui" hidden="1">{#N/A,#N/A,FALSE,"Eff-SSC2"}</definedName>
    <definedName name="q">#REF!</definedName>
    <definedName name="QA">#REF!</definedName>
    <definedName name="qac">#REF!</definedName>
    <definedName name="QQQ" hidden="1">{#N/A,#N/A,FALSE,"Eff-SSC2"}</definedName>
    <definedName name="qqqq" hidden="1">{#N/A,#N/A,FALSE,"Eff-SSC2"}</definedName>
    <definedName name="QQQQQQQQQ">#REF!</definedName>
    <definedName name="qqๆ" hidden="1">{#N/A,#N/A,FALSE,"Eff-SSC2"}</definedName>
    <definedName name="qryสรุปเกรดประจำเดือน_ย่อย_">#REF!</definedName>
    <definedName name="qsasa" hidden="1">{#N/A,#N/A,FALSE,"Eff-SSC2"}</definedName>
    <definedName name="qsd">#REF!</definedName>
    <definedName name="qsff">#REF!</definedName>
    <definedName name="qtrprint">#REF!</definedName>
    <definedName name="QTRS">#REF!</definedName>
    <definedName name="rat" hidden="1">#REF!</definedName>
    <definedName name="RBL" hidden="1">{#N/A,#N/A,FALSE,"Eff-SSC2"}</definedName>
    <definedName name="re" hidden="1">{#N/A,#N/A,FALSE,"Eff-SSC2"}</definedName>
    <definedName name="real" hidden="1">{#N/A,#N/A,FALSE,"Eff-SSC2"}</definedName>
    <definedName name="REB_WILLCOX">#REF!</definedName>
    <definedName name="reds">#REF!</definedName>
    <definedName name="resPD">#REF!</definedName>
    <definedName name="RespFillRange">#REF!</definedName>
    <definedName name="Responsibility">#REF!</definedName>
    <definedName name="RGF" hidden="1">{#N/A,#N/A,FALSE,"Eff-SSC2"}</definedName>
    <definedName name="RM">#REF!</definedName>
    <definedName name="rrr">#REF!</definedName>
    <definedName name="RSS">#REF!</definedName>
    <definedName name="rt">#REF!</definedName>
    <definedName name="rtrty" hidden="1">{#N/A,#N/A,FALSE,"Eff-SSC2"}</definedName>
    <definedName name="rtw">#REF!</definedName>
    <definedName name="rtz" hidden="1">1/EUReXToNLG</definedName>
    <definedName name="ru" hidden="1">{#N/A,#N/A,FALSE,"Eff-SSC2"}</definedName>
    <definedName name="rung" hidden="1">{#N/A,#N/A,FALSE,"Eff-SSC2"}</definedName>
    <definedName name="S" hidden="1">{#N/A,#N/A,FALSE,"Eff-SSC2"}</definedName>
    <definedName name="SALE">#REF!</definedName>
    <definedName name="Sales_Commissions">#REF!</definedName>
    <definedName name="Sales_Tax">#REF!</definedName>
    <definedName name="saphonchet" hidden="1">{#N/A,#N/A,FALSE,"Eff-SSC2"}</definedName>
    <definedName name="sd">#REF!</definedName>
    <definedName name="sdf">#REF!</definedName>
    <definedName name="sdsd">#REF!</definedName>
    <definedName name="sdskvjnslgnnrto">#REF!</definedName>
    <definedName name="se" hidden="1">{#N/A,#N/A,FALSE,"Eff-SSC2"}</definedName>
    <definedName name="Secpkgdrpgojdprogjdrg">#REF!</definedName>
    <definedName name="seee" hidden="1">{#N/A,#N/A,FALSE,"Eff-SSC2"}</definedName>
    <definedName name="Serv">#REF!</definedName>
    <definedName name="Servc">#REF!</definedName>
    <definedName name="Service_10">#REF!</definedName>
    <definedName name="Service_11">#REF!</definedName>
    <definedName name="Service_12">#REF!</definedName>
    <definedName name="Service_13">#REF!</definedName>
    <definedName name="Service_14">#REF!</definedName>
    <definedName name="Service_15">#REF!</definedName>
    <definedName name="Service_16">#REF!</definedName>
    <definedName name="Service_17">#REF!</definedName>
    <definedName name="Service_18">#REF!</definedName>
    <definedName name="Service_19">#REF!</definedName>
    <definedName name="Service_20">#REF!</definedName>
    <definedName name="Service_21">#REF!</definedName>
    <definedName name="Service_22">#REF!</definedName>
    <definedName name="Service_23">#REF!</definedName>
    <definedName name="Service_24">#REF!</definedName>
    <definedName name="Service_25">#REF!</definedName>
    <definedName name="Service_26">#REF!</definedName>
    <definedName name="Service_5">#REF!</definedName>
    <definedName name="Service_6">#REF!</definedName>
    <definedName name="Service_7">#REF!</definedName>
    <definedName name="Service_8">#REF!</definedName>
    <definedName name="Service_9">#REF!</definedName>
    <definedName name="sfdg" hidden="1">#REF!</definedName>
    <definedName name="SKIM">#REF!</definedName>
    <definedName name="sp">(#REF!*#REF!)/1000</definedName>
    <definedName name="Spec_F">OFFSET(#REF!,0,0,COUNTA(#REF!)-2,1)</definedName>
    <definedName name="Spec_FLF">OFFSET(#REF!,0,0,COUNTA(#REF!)-2,1)</definedName>
    <definedName name="Spec_FMPM">OFFSET(#REF!,0,0,COUNTA(#REF!)-2,1)</definedName>
    <definedName name="Spec_FNP">OFFSET(#REF!,0,0,COUNTA(#REF!)-2,1)</definedName>
    <definedName name="Spec_TS">OFFSET(#REF!,0,0,COUNTA(#REF!)-2,1)</definedName>
    <definedName name="Spec_TSLF">OFFSET(#REF!,0,0,COUNTA(#REF!)-2,1)</definedName>
    <definedName name="Spec_TSMPM">OFFSET(#REF!,0,0,COUNTA(#REF!)-2,1)</definedName>
    <definedName name="Spec_TSNP">OFFSET(#REF!,0,0,COUNTA(#REF!)-2,1)</definedName>
    <definedName name="ss">NA()</definedName>
    <definedName name="ss_1">NA()</definedName>
    <definedName name="ss_2">NA()</definedName>
    <definedName name="ssc" hidden="1">{#N/A,#N/A,FALSE,"Eff-SSC2"}</definedName>
    <definedName name="SSCII" hidden="1">{#N/A,#N/A,FALSE,"Eff-SSC2"}</definedName>
    <definedName name="sss" hidden="1">{#N/A,#N/A,FALSE,"Eff-SSC2"}</definedName>
    <definedName name="st" hidden="1">#REF!</definedName>
    <definedName name="State_Income_Tax">#REF!</definedName>
    <definedName name="storage">#REF!</definedName>
    <definedName name="STR">#REF!</definedName>
    <definedName name="Strip" hidden="1">{#N/A,#N/A,FALSE,"Eff-SSC2"}</definedName>
    <definedName name="SWDSDSDS" hidden="1">{#N/A,#N/A,FALSE,"Eff-SSC2"}</definedName>
    <definedName name="system">#REF!</definedName>
    <definedName name="t" hidden="1">{#N/A,#N/A,FALSE,"Eff-SSC2"}</definedName>
    <definedName name="T_Pcs">#N/A</definedName>
    <definedName name="tada" hidden="1">{#N/A,#N/A,FALSE,"Eff-SSC2"}</definedName>
    <definedName name="Target_2009" hidden="1">{#N/A,#N/A,FALSE,"Eff-SSC2"}</definedName>
    <definedName name="TAX2_1">#REF!</definedName>
    <definedName name="tbl_Factory">#REF!</definedName>
    <definedName name="tbl_FactoryResult">#REF!</definedName>
    <definedName name="tensile">#REF!</definedName>
    <definedName name="TEST0">#REF!</definedName>
    <definedName name="TESTHKEY">#REF!</definedName>
    <definedName name="TESTKEYS">#REF!</definedName>
    <definedName name="TESTVKEY">#REF!</definedName>
    <definedName name="tgdg">#REF!</definedName>
    <definedName name="ThEnergy">#REF!</definedName>
    <definedName name="Thermal">#REF!</definedName>
    <definedName name="Thermal_10">#REF!</definedName>
    <definedName name="Thermal_11">#REF!</definedName>
    <definedName name="Thermal_12">#REF!</definedName>
    <definedName name="Thermal_13">#REF!</definedName>
    <definedName name="Thermal_14">#REF!</definedName>
    <definedName name="Thermal_15">#REF!</definedName>
    <definedName name="Thermal_16">#REF!</definedName>
    <definedName name="Thermal_17">#REF!</definedName>
    <definedName name="Thermal_18">#REF!</definedName>
    <definedName name="Thermal_19">#REF!</definedName>
    <definedName name="Thermal_20">#REF!</definedName>
    <definedName name="Thermal_21">#REF!</definedName>
    <definedName name="Thermal_22">#REF!</definedName>
    <definedName name="Thermal_23">#REF!</definedName>
    <definedName name="Thermal_24">#REF!</definedName>
    <definedName name="Thermal_25">#REF!</definedName>
    <definedName name="Thermal_26">#REF!</definedName>
    <definedName name="Thermal_5">#REF!</definedName>
    <definedName name="Thermal_6">#REF!</definedName>
    <definedName name="Thermal_7">#REF!</definedName>
    <definedName name="Thermal_8">#REF!</definedName>
    <definedName name="Thermal_9">#REF!</definedName>
    <definedName name="Thermal_i_10">#REF!</definedName>
    <definedName name="Thermal_i_11">#REF!</definedName>
    <definedName name="Thermal_i_12">#REF!</definedName>
    <definedName name="Thermal_i_13">#REF!</definedName>
    <definedName name="Thermal_i_14">#REF!</definedName>
    <definedName name="Thermal_i_15">#REF!</definedName>
    <definedName name="Thermal_i_16">#REF!</definedName>
    <definedName name="Thermal_i_17">#REF!</definedName>
    <definedName name="Thermal_i_18">#REF!</definedName>
    <definedName name="Thermal_i_19">#REF!</definedName>
    <definedName name="Thermal_i_20">#REF!</definedName>
    <definedName name="Thermal_i_21">#REF!</definedName>
    <definedName name="Thermal_i_22">#REF!</definedName>
    <definedName name="Thermal_i_23">#REF!</definedName>
    <definedName name="Thermal_i_24">#REF!</definedName>
    <definedName name="Thermal_i_25">#REF!</definedName>
    <definedName name="Thermal_i_26">#REF!</definedName>
    <definedName name="Thermal_i_5">#REF!</definedName>
    <definedName name="Thermal_i_6">#REF!</definedName>
    <definedName name="Thermal_i_7">#REF!</definedName>
    <definedName name="Thermal_i_8">#REF!</definedName>
    <definedName name="Thermal_i_9">#REF!</definedName>
    <definedName name="Thermal_o">#REF!</definedName>
    <definedName name="Thermal_o_10">#REF!</definedName>
    <definedName name="Thermal_o_11">#REF!</definedName>
    <definedName name="Thermal_o_12">#REF!</definedName>
    <definedName name="Thermal_o_13">#REF!</definedName>
    <definedName name="Thermal_o_14">#REF!</definedName>
    <definedName name="Thermal_o_15">#REF!</definedName>
    <definedName name="Thermal_o_16">#REF!</definedName>
    <definedName name="Thermal_o_17">#REF!</definedName>
    <definedName name="Thermal_o_18">#REF!</definedName>
    <definedName name="Thermal_o_19">#REF!</definedName>
    <definedName name="Thermal_o_20">#REF!</definedName>
    <definedName name="Thermal_o_21">#REF!</definedName>
    <definedName name="Thermal_o_22">#REF!</definedName>
    <definedName name="Thermal_o_23">#REF!</definedName>
    <definedName name="Thermal_o_24">#REF!</definedName>
    <definedName name="Thermal_o_25">#REF!</definedName>
    <definedName name="Thermal_o_26">#REF!</definedName>
    <definedName name="Thermal_o_5">#REF!</definedName>
    <definedName name="Thermal_o_6">#REF!</definedName>
    <definedName name="Thermal_o_7">#REF!</definedName>
    <definedName name="Thermal_o_8">#REF!</definedName>
    <definedName name="Thermal_o_9">#REF!</definedName>
    <definedName name="Tin">#REF!</definedName>
    <definedName name="Tokyo">#REF!</definedName>
    <definedName name="ton_pull">#REF!</definedName>
    <definedName name="Tout">#REF!</definedName>
    <definedName name="trader">#REF!</definedName>
    <definedName name="tre">#REF!</definedName>
    <definedName name="TS" hidden="1">{#N/A,#N/A,FALSE,"Eff-SSC2"}</definedName>
    <definedName name="TS_EP">OFFSET(#REF!,0,0,COUNTA(#REF!)-3,1)</definedName>
    <definedName name="TS_LF">OFFSET(#REF!,0,0,COUNTA(#REF!)-3,1)</definedName>
    <definedName name="TS_MPM">OFFSET(#REF!,0,0,COUNTA(#REF!)-3,1)</definedName>
    <definedName name="TSNP">OFFSET(#REF!,0,0,COUNTA(#REF!)-3,1)</definedName>
    <definedName name="tt">#REF!</definedName>
    <definedName name="ttt" hidden="1">{#N/A,#N/A,FALSE,"Eff-SSC2"}</definedName>
    <definedName name="Turner1" hidden="1">{#N/A,#N/A,FALSE,"Eff-SSC2"}</definedName>
    <definedName name="turnover">#REF!</definedName>
    <definedName name="Tuv" hidden="1">{#N/A,#N/A,FALSE,"Eff-SSC2"}</definedName>
    <definedName name="Type">#REF!</definedName>
    <definedName name="Unit_Sales_Price">#REF!</definedName>
    <definedName name="v" hidden="1">{#N/A,#N/A,FALSE,"Eff-SSC2"}</definedName>
    <definedName name="vvvvv">#REF!</definedName>
    <definedName name="vyu" hidden="1">#REF!</definedName>
    <definedName name="w38a" hidden="1">{#N/A,#N/A,FALSE,"Eff-SSC2"}</definedName>
    <definedName name="w38b" hidden="1">{#N/A,#N/A,FALSE,"Eff-SSC2"}</definedName>
    <definedName name="w38c" hidden="1">{#N/A,#N/A,FALSE,"Eff-SSC2"}</definedName>
    <definedName name="wdf">#REF!</definedName>
    <definedName name="we" hidden="1">{#N/A,#N/A,FALSE,"Eff-SSC2"}</definedName>
    <definedName name="weea" hidden="1">{#N/A,#N/A,FALSE,"Eff-SSC2"}</definedName>
    <definedName name="weeh36" hidden="1">{#N/A,#N/A,FALSE,"Eff-SSC2"}</definedName>
    <definedName name="weeh37" hidden="1">{#N/A,#N/A,FALSE,"Eff-SSC2"}</definedName>
    <definedName name="week_01" hidden="1">{#N/A,#N/A,FALSE,"Eff-SSC2"}</definedName>
    <definedName name="week1" hidden="1">{#N/A,#N/A,FALSE,"Eff-SSC2"}</definedName>
    <definedName name="week2" hidden="1">{#N/A,#N/A,FALSE,"Eff-SSC2"}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61" hidden="1">{#N/A,#N/A,FALSE,"Eff-SSC2"}</definedName>
    <definedName name="week37" hidden="1">{#N/A,#N/A,FALSE,"Eff-SSC2"}</definedName>
    <definedName name="week38" hidden="1">{#N/A,#N/A,FALSE,"Eff-SSC2"}</definedName>
    <definedName name="week39" hidden="1">{#N/A,#N/A,FALSE,"Eff-SSC2"}</definedName>
    <definedName name="week53" hidden="1">{#N/A,#N/A,FALSE,"Eff-SSC2"}</definedName>
    <definedName name="week54" hidden="1">{#N/A,#N/A,FALSE,"Eff-SSC2"}</definedName>
    <definedName name="week55" hidden="1">{#N/A,#N/A,FALSE,"Eff-SSC2"}</definedName>
    <definedName name="week6" hidden="1">{#N/A,#N/A,FALSE,"Eff-SSC2"}</definedName>
    <definedName name="WK16_2005" hidden="1">{#N/A,#N/A,FALSE,"Eff-SSC2"}</definedName>
    <definedName name="wrhtrh">#REF!</definedName>
    <definedName name="wrn.A" hidden="1">{#N/A,#N/A,FALSE,"Eff-SSC2"}</definedName>
    <definedName name="wrn.A." hidden="1">{#N/A,#N/A,FALSE,"Eff-SSC2"}</definedName>
    <definedName name="wrn.B." hidden="1">{#N/A,#N/A,FALSE,"Eff-SSC2"}</definedName>
    <definedName name="wrn.C." hidden="1">{#N/A,#N/A,FALSE,"Eff-SSC2"}</definedName>
    <definedName name="wrn.D." hidden="1">{#N/A,#N/A,FALSE,"Eff-SSC2"}</definedName>
    <definedName name="wrn.MONTHLY.">NA()</definedName>
    <definedName name="wrn.MONTHLY._1">NA()</definedName>
    <definedName name="wrn.MONTHLY._2">NA()</definedName>
    <definedName name="wrn.MONTHLY._3">NA()</definedName>
    <definedName name="wrn.sheet2.">NA()</definedName>
    <definedName name="wrn.sheet2._1">NA()</definedName>
    <definedName name="wrn.sheet2._2">NA()</definedName>
    <definedName name="wrn.sheet2._3">NA()</definedName>
    <definedName name="wrn.sheet2._4">NA()</definedName>
    <definedName name="WS">#REF!</definedName>
    <definedName name="wss" hidden="1">{#N/A,#N/A,FALSE,"Eff-SSC2"}</definedName>
    <definedName name="ww" hidden="1">{#N/A,#N/A,FALSE,"Eff-SSC2"}</definedName>
    <definedName name="www">#REF!</definedName>
    <definedName name="wwww" hidden="1">{#N/A,#N/A,FALSE,"Eff-SSC2"}</definedName>
    <definedName name="X">#REF!</definedName>
    <definedName name="xx" hidden="1">{#N/A,#N/A,FALSE,"Eff-SSC2"}</definedName>
    <definedName name="xxx" hidden="1">1/EUReXToESP</definedName>
    <definedName name="Y">#REF!</definedName>
    <definedName name="ybv">#REF!</definedName>
    <definedName name="ydrz" hidden="1">1/EUReXToPTE</definedName>
    <definedName name="Yield">#REF!</definedName>
    <definedName name="ying" hidden="1">{#N/A,#N/A,FALSE,"Eff-SSC2"}</definedName>
    <definedName name="YTD">#REF!</definedName>
    <definedName name="YTD1">#REF!</definedName>
    <definedName name="yujkdtyud" hidden="1">{#N/A,#N/A,FALSE,"Eff-SSC2"}</definedName>
    <definedName name="yx" hidden="1">1/EUReXToFRF</definedName>
    <definedName name="yxx" hidden="1">1/EUReXToIEP</definedName>
    <definedName name="Z">#REF!</definedName>
    <definedName name="Z_BORDER">#REF!</definedName>
    <definedName name="zz">#REF!</definedName>
    <definedName name="เงินฝากธนาคาร">#REF!</definedName>
    <definedName name="เชื้อเพลิง">#REF!</definedName>
    <definedName name="เดือื่เ" hidden="1">{#N/A,#N/A,FALSE,"Eff-SSC2"}</definedName>
    <definedName name="เป็น">#REF!</definedName>
    <definedName name="เป็นซ้ำ">#REF!</definedName>
    <definedName name="เป้าหมายใหม่">#REF!</definedName>
    <definedName name="เพฟ" hidden="1">#REF!</definedName>
    <definedName name="เหกเกเกกเกด">{#N/A,#N/A,FALSE,"Eff-SSC2"}</definedName>
    <definedName name="เหื" hidden="1">{#N/A,#N/A,FALSE,"Eff-SSC2"}</definedName>
    <definedName name="แ" hidden="1">{#N/A,#N/A,FALSE,"Eff-SSC2"}</definedName>
    <definedName name="แบบร่าง" hidden="1">{#N/A,#N/A,FALSE,"Eff-SSC2"}</definedName>
    <definedName name="แผนก">#REF!</definedName>
    <definedName name="แฟด">#REF!</definedName>
    <definedName name="โครงร่าง">#REF!</definedName>
    <definedName name="โครงสร้าง" hidden="1">{#N/A,#N/A,FALSE,"Eff-SSC2"}</definedName>
    <definedName name="ไ">#REF!</definedName>
    <definedName name="ไก" hidden="1">{#N/A,#N/A,FALSE,"Eff-SSC2"}</definedName>
    <definedName name="ไป" hidden="1">{#N/A,#N/A,FALSE,"Eff-SSC2"}</definedName>
    <definedName name="ไม่เป็น">#REF!</definedName>
    <definedName name="ไม่ดำเนินการ">#REF!</definedName>
    <definedName name="ก" hidden="1">{#N/A,#N/A,FALSE,"Eff-SSC2"}</definedName>
    <definedName name="กไก" hidden="1">#REF!</definedName>
    <definedName name="กกพ" hidden="1">{#N/A,#N/A,FALSE,"Eff-SSC2"}</definedName>
    <definedName name="กดกดก" hidden="1">{#N/A,#N/A,FALSE,"Eff-SSC2"}</definedName>
    <definedName name="กฟ">#REF!</definedName>
    <definedName name="กหดกดหเ">{#N/A,#N/A,FALSE,"Eff-SSC2"}</definedName>
    <definedName name="การโอนเงินระหว่างสาขา" hidden="1">{#N/A,#N/A,FALSE,"Eff-SSC2"}</definedName>
    <definedName name="กิ">#REF!</definedName>
    <definedName name="ขวด">#REF!</definedName>
    <definedName name="ข้อที่4" hidden="1">{#N/A,#N/A,FALSE,"Eff-SSC2"}</definedName>
    <definedName name="ขั้นตอน">#REF!</definedName>
    <definedName name="คจช">#REF!</definedName>
    <definedName name="คลิกเลือก">"mg/L"</definedName>
    <definedName name="ค่าความร้อน">#REF!</definedName>
    <definedName name="คุณภาพ">#REF!</definedName>
    <definedName name="งง" hidden="1">{#N/A,#N/A,FALSE,"Eff-SSC2"}</definedName>
    <definedName name="งบกำไรขาดทุน">#REF!</definedName>
    <definedName name="งาน">#REF!</definedName>
    <definedName name="ชั่วโมงการอบไม้แปรรูป">#REF!</definedName>
    <definedName name="ชั่วโมงการอบผลิตภัณฑ์ไม้ประกอบชุด">#REF!</definedName>
    <definedName name="ซ่อมบำรุง">#REF!</definedName>
    <definedName name="ด">#REF!</definedName>
    <definedName name="ด12">#REF!</definedName>
    <definedName name="ดกหเ">#REF!</definedName>
    <definedName name="ดด" hidden="1">{#N/A,#N/A,FALSE,"Eff-SSC2"}</definedName>
    <definedName name="ดดด">#REF!</definedName>
    <definedName name="ดฟแ2">#REF!</definedName>
    <definedName name="ดำเนินการ">#REF!</definedName>
    <definedName name="ตาราง_การจัดทำรายงาน_Feedback_Report_รอบ_ปี_51_53_หน้าที่ของผู้ที่เกี่ยวข้อง">#REF!</definedName>
    <definedName name="ถ้ะ" hidden="1">{#N/A,#N/A,FALSE,"Eff-SSC2"}</definedName>
    <definedName name="ทท" hidden="1">#REF!</definedName>
    <definedName name="ทาทา" hidden="1">{#N/A,#N/A,FALSE,"Eff-SSC2"}</definedName>
    <definedName name="น" hidden="1">{#N/A,#N/A,FALSE,"Eff-SSC2"}</definedName>
    <definedName name="นน" hidden="1">{#N/A,#N/A,FALSE,"Eff-SSC2"}</definedName>
    <definedName name="นัครงค์" hidden="1">{#N/A,#N/A,FALSE,"Eff-SSC2"}</definedName>
    <definedName name="ปิดสรุป">#REF!</definedName>
    <definedName name="ผลการดำเนินงาน_Productivity">#REF!</definedName>
    <definedName name="ผลรวม" comment="ช้องผลรวมนี้ เชื่อมโยงกับผลที่แสดงใน Fr-01">#REF!</definedName>
    <definedName name="ผลิตภัณฑ์ไม้ประกอบชุด">#REF!</definedName>
    <definedName name="ผิดพลาด">"บกพร่อง"</definedName>
    <definedName name="ผู้เข้าประชุมKz" hidden="1">{#N/A,#N/A,FALSE,"Eff-SSC2"}</definedName>
    <definedName name="ผู้เสนอ">#REF!</definedName>
    <definedName name="ผู้ปฎิบัติ">#REF!</definedName>
    <definedName name="พ้" hidden="1">{#N/A,#N/A,FALSE,"Eff-SSC2"}</definedName>
    <definedName name="พดกเอาเสาเสเ" hidden="1">{#N/A,#N/A,FALSE,"Eff-SSC2"}</definedName>
    <definedName name="พพ" hidden="1">{#N/A,#N/A,FALSE,"Eff-SSC2"}</definedName>
    <definedName name="พำ" hidden="1">{#N/A,#N/A,FALSE,"Eff-SSC2"}</definedName>
    <definedName name="ฟ">#REF!</definedName>
    <definedName name="ฟ1" hidden="1">#REF!</definedName>
    <definedName name="ฟ1afa">#REF!</definedName>
    <definedName name="ฟฟ" hidden="1">{#N/A,#N/A,FALSE,"Eff-SSC2"}</definedName>
    <definedName name="ฟฟฟ">#REF!</definedName>
    <definedName name="ฟหกด" hidden="1">{#N/A,#N/A,FALSE,"Eff-SSC2"}</definedName>
    <definedName name="ย" hidden="1">#REF!</definedName>
    <definedName name="ยน" hidden="1">{#N/A,#N/A,FALSE,"Eff-SSC2"}</definedName>
    <definedName name="ร113">#REF!</definedName>
    <definedName name="รหัสพนักงาน">#REF!</definedName>
    <definedName name="รัฃ" hidden="1">{#N/A,#N/A,FALSE,"Eff-SSC2"}</definedName>
    <definedName name="รับรองรายงานการประชุม_ครั้งที่">#REF!</definedName>
    <definedName name="ราคาขาย">#REF!</definedName>
    <definedName name="รายการข้อมูล">#REF!</definedName>
    <definedName name="ลำดับที่1">#REF!</definedName>
    <definedName name="ลำดับที่2">#REF!</definedName>
    <definedName name="ลำดับที่3">#REF!</definedName>
    <definedName name="ลำดับที่30">#REF!</definedName>
    <definedName name="ลำดับที่4">#REF!</definedName>
    <definedName name="ลำดับที่5">#REF!</definedName>
    <definedName name="ลำดับที่6">#REF!</definedName>
    <definedName name="ลิตร">#REF!</definedName>
    <definedName name="วัตถุดิบ">#REF!</definedName>
    <definedName name="ส" hidden="1">{#N/A,#N/A,FALSE,"Eff-SSC2"}</definedName>
    <definedName name="ส่ง">#REF!</definedName>
    <definedName name="ส่งออก05" hidden="1">{#N/A,#N/A,FALSE,"Eff-SSC2"}</definedName>
    <definedName name="สถาพข้อมูล">#REF!</definedName>
    <definedName name="สถิติ_spc" hidden="1">{#N/A,#N/A,FALSE,"Eff-SSC2"}</definedName>
    <definedName name="สรรพหา" hidden="1">{#N/A,#N/A,FALSE,"Eff-SSC2"}</definedName>
    <definedName name="สรุป" hidden="1">{#N/A,#N/A,FALSE,"Eff-SSC2"}</definedName>
    <definedName name="ส่วนแปรรูปไม้">#REF!</definedName>
    <definedName name="ส่วนไม้แปรรูป">#REF!</definedName>
    <definedName name="ส่วนไม้แปรรูปอบแห้ง">#REF!</definedName>
    <definedName name="ส่วนไม้ประกอบชุด">#REF!</definedName>
    <definedName name="ส่วนซ่อมบำรุง">#REF!</definedName>
    <definedName name="ส่วนบุคคล">#REF!</definedName>
    <definedName name="ส่วนประกันคุณภาพ">#REF!</definedName>
    <definedName name="ส่วนยางสกิมเครฟ">#REF!</definedName>
    <definedName name="ส่วนส่งออก">#REF!</definedName>
    <definedName name="สายพาน2" hidden="1">{#N/A,#N/A,FALSE,"Eff-SSC2"}</definedName>
    <definedName name="สารทำความเย็น_1">#REF!*#REF!/1000</definedName>
    <definedName name="สาส" hidden="1">{#N/A,#N/A,FALSE,"Eff-SSC2"}</definedName>
    <definedName name="ห" hidden="1">{#N/A,#N/A,FALSE,"Eff-SSC2"}</definedName>
    <definedName name="หแ" hidden="1">{#N/A,#N/A,FALSE,"Eff-SSC2"}</definedName>
    <definedName name="หแห">#REF!</definedName>
    <definedName name="หน.ช" hidden="1">{#N/A,#N/A,FALSE,"Eff-SSC2"}</definedName>
    <definedName name="หน้าที่งาน" hidden="1">{#N/A,#N/A,FALSE,"Eff-SSC2"}</definedName>
    <definedName name="หมวดสินค้า" hidden="1">{#N/A,#N/A,FALSE,"Eff-SSC2"}</definedName>
    <definedName name="หห">NA()</definedName>
    <definedName name="หห_1">NA()</definedName>
    <definedName name="หห_2">NA()</definedName>
    <definedName name="หห_3">NA()</definedName>
    <definedName name="หหหหหหหหหหห">#REF!</definedName>
    <definedName name="อบ">#REF!</definedName>
    <definedName name="ๆกหดะ">#REF!</definedName>
    <definedName name="ๆๆๆ" hidden="1">{#N/A,#N/A,FALSE,"Eff-SSC2"}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8" i="36" l="1"/>
  <c r="F13" i="36" l="1"/>
  <c r="F11" i="36"/>
  <c r="F10" i="36"/>
  <c r="F18" i="35" l="1"/>
  <c r="G18" i="35"/>
  <c r="H18" i="35"/>
  <c r="E18" i="35"/>
  <c r="F17" i="35"/>
  <c r="G17" i="35"/>
  <c r="H17" i="35"/>
  <c r="E17" i="35"/>
  <c r="F16" i="35"/>
  <c r="G16" i="35"/>
  <c r="H16" i="35"/>
  <c r="F15" i="35"/>
  <c r="G15" i="35"/>
  <c r="H15" i="35"/>
  <c r="F14" i="35"/>
  <c r="G14" i="35"/>
  <c r="H14" i="35"/>
  <c r="E16" i="35"/>
  <c r="E15" i="35"/>
  <c r="E14" i="35"/>
  <c r="F13" i="35"/>
  <c r="G13" i="35"/>
  <c r="H13" i="35"/>
  <c r="E13" i="35"/>
  <c r="F14" i="36" l="1"/>
  <c r="P31" i="36" l="1"/>
  <c r="K15" i="36"/>
  <c r="J15" i="36"/>
  <c r="I15" i="36"/>
  <c r="G15" i="36"/>
  <c r="M15" i="36"/>
  <c r="N15" i="36"/>
  <c r="O15" i="36"/>
  <c r="P15" i="36"/>
  <c r="P14" i="36"/>
  <c r="P13" i="36"/>
  <c r="P11" i="36"/>
  <c r="O61" i="36" l="1"/>
  <c r="N61" i="36"/>
  <c r="M61" i="36"/>
  <c r="L61" i="36"/>
  <c r="K61" i="36"/>
  <c r="J61" i="36"/>
  <c r="I61" i="36"/>
  <c r="H61" i="36"/>
  <c r="G61" i="36"/>
  <c r="O50" i="36"/>
  <c r="N50" i="36"/>
  <c r="M50" i="36"/>
  <c r="O13" i="36"/>
  <c r="N13" i="36"/>
  <c r="M13" i="36"/>
  <c r="L13" i="36"/>
  <c r="K13" i="36"/>
  <c r="J13" i="36"/>
  <c r="I13" i="36"/>
  <c r="H13" i="36"/>
  <c r="G13" i="36"/>
  <c r="O11" i="36"/>
  <c r="N11" i="36"/>
  <c r="M11" i="36"/>
  <c r="O10" i="36"/>
  <c r="N10" i="36"/>
  <c r="M10" i="36"/>
  <c r="I50" i="36" l="1"/>
  <c r="J50" i="36"/>
  <c r="K50" i="36"/>
  <c r="L50" i="36"/>
  <c r="I52" i="36"/>
  <c r="J52" i="36"/>
  <c r="K52" i="36"/>
  <c r="L52" i="36"/>
  <c r="I56" i="36"/>
  <c r="J56" i="36"/>
  <c r="K56" i="36"/>
  <c r="L56" i="36"/>
  <c r="H52" i="36" l="1"/>
  <c r="H56" i="36"/>
  <c r="H50" i="36"/>
  <c r="H44" i="36"/>
  <c r="H11" i="36"/>
  <c r="B66" i="35" l="1"/>
  <c r="C66" i="35"/>
  <c r="F58" i="36"/>
  <c r="D66" i="35" s="1"/>
  <c r="G56" i="36"/>
  <c r="G52" i="36"/>
  <c r="G50" i="36"/>
  <c r="H39" i="36"/>
  <c r="I39" i="36"/>
  <c r="J39" i="36"/>
  <c r="K39" i="36"/>
  <c r="L39" i="36"/>
  <c r="M39" i="36"/>
  <c r="N39" i="36"/>
  <c r="O39" i="36"/>
  <c r="P39" i="36"/>
  <c r="Q39" i="36"/>
  <c r="R39" i="36"/>
  <c r="H38" i="36"/>
  <c r="I38" i="36"/>
  <c r="J38" i="36"/>
  <c r="K38" i="36"/>
  <c r="L38" i="36"/>
  <c r="M38" i="36"/>
  <c r="N38" i="36"/>
  <c r="O38" i="36"/>
  <c r="P38" i="36"/>
  <c r="Q38" i="36"/>
  <c r="R38" i="36"/>
  <c r="G31" i="36"/>
  <c r="G40" i="36" s="1"/>
  <c r="G39" i="36"/>
  <c r="H31" i="36"/>
  <c r="I31" i="36"/>
  <c r="I40" i="36" s="1"/>
  <c r="J31" i="36"/>
  <c r="J40" i="36" s="1"/>
  <c r="K31" i="36"/>
  <c r="K40" i="36" s="1"/>
  <c r="L31" i="36"/>
  <c r="L40" i="36" s="1"/>
  <c r="M31" i="36"/>
  <c r="M40" i="36" s="1"/>
  <c r="N31" i="36"/>
  <c r="N40" i="36" s="1"/>
  <c r="O31" i="36"/>
  <c r="O40" i="36" s="1"/>
  <c r="P40" i="36"/>
  <c r="Q31" i="36"/>
  <c r="Q40" i="36" s="1"/>
  <c r="R31" i="36"/>
  <c r="R40" i="36" s="1"/>
  <c r="G11" i="36"/>
  <c r="G10" i="36"/>
  <c r="G38" i="36" s="1"/>
  <c r="F29" i="36"/>
  <c r="F30" i="36"/>
  <c r="F31" i="36" l="1"/>
  <c r="H40" i="36"/>
  <c r="C79" i="35"/>
  <c r="C78" i="35"/>
  <c r="B79" i="35"/>
  <c r="B78" i="35"/>
  <c r="C72" i="35"/>
  <c r="D72" i="35"/>
  <c r="C73" i="35"/>
  <c r="D73" i="35"/>
  <c r="C74" i="35"/>
  <c r="D74" i="35"/>
  <c r="C75" i="35"/>
  <c r="D75" i="35"/>
  <c r="C76" i="35"/>
  <c r="D76" i="35"/>
  <c r="B76" i="35"/>
  <c r="B72" i="35"/>
  <c r="B73" i="35"/>
  <c r="B74" i="35"/>
  <c r="B75" i="35"/>
  <c r="D71" i="35"/>
  <c r="C71" i="35"/>
  <c r="B71" i="35"/>
  <c r="C57" i="35"/>
  <c r="C58" i="35"/>
  <c r="C59" i="35"/>
  <c r="C60" i="35"/>
  <c r="C61" i="35"/>
  <c r="C62" i="35"/>
  <c r="C63" i="35"/>
  <c r="C64" i="35"/>
  <c r="C65" i="35"/>
  <c r="C67" i="35"/>
  <c r="C68" i="35"/>
  <c r="C69" i="35"/>
  <c r="C56" i="35"/>
  <c r="B57" i="35"/>
  <c r="B58" i="35"/>
  <c r="B59" i="35"/>
  <c r="B60" i="35"/>
  <c r="B61" i="35"/>
  <c r="B62" i="35"/>
  <c r="B63" i="35"/>
  <c r="B64" i="35"/>
  <c r="B65" i="35"/>
  <c r="B67" i="35"/>
  <c r="B68" i="35"/>
  <c r="B69" i="35"/>
  <c r="B56" i="35"/>
  <c r="C53" i="35"/>
  <c r="C54" i="35"/>
  <c r="C52" i="35"/>
  <c r="B53" i="35"/>
  <c r="B54" i="35"/>
  <c r="B52" i="35"/>
  <c r="C48" i="35"/>
  <c r="B47" i="35"/>
  <c r="B48" i="35"/>
  <c r="B46" i="35"/>
  <c r="C26" i="35"/>
  <c r="B26" i="35"/>
  <c r="D25" i="35"/>
  <c r="C25" i="35"/>
  <c r="B25" i="35"/>
  <c r="D23" i="35"/>
  <c r="D24" i="35"/>
  <c r="C24" i="35"/>
  <c r="C23" i="35"/>
  <c r="B24" i="35"/>
  <c r="B23" i="35"/>
  <c r="C14" i="35"/>
  <c r="C15" i="35"/>
  <c r="C16" i="35"/>
  <c r="C17" i="35"/>
  <c r="C18" i="35"/>
  <c r="C13" i="35"/>
  <c r="B14" i="35"/>
  <c r="B15" i="35"/>
  <c r="B16" i="35"/>
  <c r="B17" i="35"/>
  <c r="B18" i="35"/>
  <c r="B13" i="35"/>
  <c r="B44" i="35" l="1"/>
  <c r="F71" i="36"/>
  <c r="D78" i="35" s="1"/>
  <c r="D36" i="35"/>
  <c r="D17" i="35"/>
  <c r="C37" i="35"/>
  <c r="C36" i="35"/>
  <c r="B37" i="35"/>
  <c r="B36" i="35"/>
  <c r="F72" i="36"/>
  <c r="D79" i="35" s="1"/>
  <c r="S67" i="36"/>
  <c r="S66" i="36"/>
  <c r="S65" i="36"/>
  <c r="S64" i="36"/>
  <c r="S63" i="36"/>
  <c r="F61" i="36"/>
  <c r="F60" i="36"/>
  <c r="F59" i="36"/>
  <c r="F57" i="36"/>
  <c r="F56" i="36"/>
  <c r="F55" i="36"/>
  <c r="F54" i="36"/>
  <c r="F53" i="36"/>
  <c r="F52" i="36"/>
  <c r="F51" i="36"/>
  <c r="F50" i="36"/>
  <c r="F49" i="36"/>
  <c r="D57" i="35" s="1"/>
  <c r="F48" i="36"/>
  <c r="D56" i="35" s="1"/>
  <c r="F46" i="36"/>
  <c r="F45" i="36"/>
  <c r="D53" i="35" s="1"/>
  <c r="AO53" i="35" s="1"/>
  <c r="F39" i="36"/>
  <c r="F38" i="36"/>
  <c r="F36" i="36"/>
  <c r="C44" i="35" s="1" a="1"/>
  <c r="D37" i="35"/>
  <c r="F15" i="36"/>
  <c r="D18" i="35" s="1"/>
  <c r="D16" i="35"/>
  <c r="F12" i="36"/>
  <c r="D15" i="35" s="1"/>
  <c r="D14" i="35"/>
  <c r="D13" i="35"/>
  <c r="AO93" i="35"/>
  <c r="AO92" i="35"/>
  <c r="AO91" i="35"/>
  <c r="AO90" i="35"/>
  <c r="AO89" i="35"/>
  <c r="AO88" i="35"/>
  <c r="AO87" i="35"/>
  <c r="AO86" i="35"/>
  <c r="AO85" i="35"/>
  <c r="AO84" i="35"/>
  <c r="AO83" i="35"/>
  <c r="AO82" i="35"/>
  <c r="AO81" i="35"/>
  <c r="AO80" i="35"/>
  <c r="AO77" i="35"/>
  <c r="AO72" i="35"/>
  <c r="AO70" i="35"/>
  <c r="AO55" i="35"/>
  <c r="AO51" i="35"/>
  <c r="AO50" i="35"/>
  <c r="AO49" i="35"/>
  <c r="Q48" i="35"/>
  <c r="AO45" i="35"/>
  <c r="AO43" i="35"/>
  <c r="AO42" i="35"/>
  <c r="AO41" i="35"/>
  <c r="AO39" i="35"/>
  <c r="AO38" i="35"/>
  <c r="AN29" i="35"/>
  <c r="AO28" i="35"/>
  <c r="AM28" i="35"/>
  <c r="AL28" i="35"/>
  <c r="AK28" i="35"/>
  <c r="AJ28" i="35"/>
  <c r="AI28" i="35"/>
  <c r="AH28" i="35"/>
  <c r="AG28" i="35"/>
  <c r="AF28" i="35"/>
  <c r="AE28" i="35"/>
  <c r="AD28" i="35"/>
  <c r="AC28" i="35"/>
  <c r="AB28" i="35"/>
  <c r="AA28" i="35"/>
  <c r="AO27" i="35"/>
  <c r="AM27" i="35"/>
  <c r="AL27" i="35"/>
  <c r="AK27" i="35"/>
  <c r="AJ27" i="35"/>
  <c r="AI27" i="35"/>
  <c r="AH27" i="35"/>
  <c r="AG27" i="35"/>
  <c r="AF27" i="35"/>
  <c r="AE27" i="35"/>
  <c r="AD27" i="35"/>
  <c r="AC27" i="35"/>
  <c r="AB27" i="35"/>
  <c r="AA27" i="35"/>
  <c r="Q26" i="35"/>
  <c r="AM25" i="35"/>
  <c r="AL25" i="35"/>
  <c r="AK25" i="35"/>
  <c r="AJ25" i="35"/>
  <c r="AI25" i="35"/>
  <c r="AH25" i="35"/>
  <c r="AG25" i="35"/>
  <c r="AF25" i="35"/>
  <c r="AE25" i="35"/>
  <c r="AD25" i="35"/>
  <c r="AC25" i="35"/>
  <c r="AB25" i="35"/>
  <c r="AA25" i="35"/>
  <c r="Q25" i="35"/>
  <c r="AO25" i="35" s="1"/>
  <c r="AM24" i="35"/>
  <c r="AL24" i="35"/>
  <c r="AK24" i="35"/>
  <c r="AJ24" i="35"/>
  <c r="AI24" i="35"/>
  <c r="AH24" i="35"/>
  <c r="AG24" i="35"/>
  <c r="AF24" i="35"/>
  <c r="AE24" i="35"/>
  <c r="AD24" i="35"/>
  <c r="AC24" i="35"/>
  <c r="AB24" i="35"/>
  <c r="AA24" i="35"/>
  <c r="Q24" i="35"/>
  <c r="AO24" i="35" s="1"/>
  <c r="AM23" i="35"/>
  <c r="AL23" i="35"/>
  <c r="AK23" i="35"/>
  <c r="AJ23" i="35"/>
  <c r="AI23" i="35"/>
  <c r="AH23" i="35"/>
  <c r="AG23" i="35"/>
  <c r="AF23" i="35"/>
  <c r="AE23" i="35"/>
  <c r="AD23" i="35"/>
  <c r="AC23" i="35"/>
  <c r="AB23" i="35"/>
  <c r="AA23" i="35"/>
  <c r="Q23" i="35"/>
  <c r="AO23" i="35" s="1"/>
  <c r="AO22" i="35"/>
  <c r="AM22" i="35"/>
  <c r="AL22" i="35"/>
  <c r="AK22" i="35"/>
  <c r="AJ22" i="35"/>
  <c r="AI22" i="35"/>
  <c r="AH22" i="35"/>
  <c r="AG22" i="35"/>
  <c r="AF22" i="35"/>
  <c r="AE22" i="35"/>
  <c r="AD22" i="35"/>
  <c r="AC22" i="35"/>
  <c r="AB22" i="35"/>
  <c r="AA22" i="35"/>
  <c r="AO21" i="35"/>
  <c r="AM21" i="35"/>
  <c r="AL21" i="35"/>
  <c r="AK21" i="35"/>
  <c r="AJ21" i="35"/>
  <c r="AI21" i="35"/>
  <c r="AH21" i="35"/>
  <c r="AG21" i="35"/>
  <c r="AF21" i="35"/>
  <c r="AE21" i="35"/>
  <c r="AD21" i="35"/>
  <c r="AC21" i="35"/>
  <c r="AB21" i="35"/>
  <c r="AA21" i="35"/>
  <c r="AO20" i="35"/>
  <c r="AM20" i="35"/>
  <c r="AL20" i="35"/>
  <c r="AK20" i="35"/>
  <c r="AJ20" i="35"/>
  <c r="AI20" i="35"/>
  <c r="AH20" i="35"/>
  <c r="AG20" i="35"/>
  <c r="AF20" i="35"/>
  <c r="AE20" i="35"/>
  <c r="AD20" i="35"/>
  <c r="AC20" i="35"/>
  <c r="AB20" i="35"/>
  <c r="AA20" i="35"/>
  <c r="AO19" i="35"/>
  <c r="AM19" i="35"/>
  <c r="AL19" i="35"/>
  <c r="AK19" i="35"/>
  <c r="AJ19" i="35"/>
  <c r="AI19" i="35"/>
  <c r="AH19" i="35"/>
  <c r="AG19" i="35"/>
  <c r="AF19" i="35"/>
  <c r="AE19" i="35"/>
  <c r="AD19" i="35"/>
  <c r="AC19" i="35"/>
  <c r="AB19" i="35"/>
  <c r="AA19" i="35"/>
  <c r="Q17" i="35"/>
  <c r="Q16" i="35"/>
  <c r="Q14" i="35"/>
  <c r="AO12" i="35"/>
  <c r="AM12" i="35"/>
  <c r="AL12" i="35"/>
  <c r="AK12" i="35"/>
  <c r="AJ12" i="35"/>
  <c r="AI12" i="35"/>
  <c r="AH12" i="35"/>
  <c r="AG12" i="35"/>
  <c r="AF12" i="35"/>
  <c r="AE12" i="35"/>
  <c r="AD12" i="35"/>
  <c r="AC12" i="35"/>
  <c r="AB12" i="35"/>
  <c r="AA12" i="35"/>
  <c r="AO11" i="35"/>
  <c r="AM11" i="35"/>
  <c r="AL11" i="35"/>
  <c r="AK11" i="35"/>
  <c r="AJ11" i="35"/>
  <c r="AI11" i="35"/>
  <c r="AH11" i="35"/>
  <c r="AG11" i="35"/>
  <c r="AF11" i="35"/>
  <c r="AE11" i="35"/>
  <c r="AD11" i="35"/>
  <c r="AC11" i="35"/>
  <c r="AB11" i="35"/>
  <c r="AA11" i="35"/>
  <c r="AO10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A10" i="35"/>
  <c r="AF18" i="35" l="1"/>
  <c r="S52" i="36"/>
  <c r="D60" i="35"/>
  <c r="S53" i="36"/>
  <c r="D61" i="35"/>
  <c r="S50" i="36"/>
  <c r="D58" i="35"/>
  <c r="S51" i="36"/>
  <c r="D59" i="35"/>
  <c r="S54" i="36"/>
  <c r="D62" i="35"/>
  <c r="S55" i="36"/>
  <c r="D63" i="35"/>
  <c r="S56" i="36"/>
  <c r="D64" i="35"/>
  <c r="S57" i="36"/>
  <c r="D65" i="35"/>
  <c r="S59" i="36"/>
  <c r="D67" i="35"/>
  <c r="S60" i="36"/>
  <c r="D68" i="35"/>
  <c r="S61" i="36"/>
  <c r="D69" i="35"/>
  <c r="D54" i="35"/>
  <c r="AO54" i="35" s="1"/>
  <c r="C44" i="35"/>
  <c r="AO44" i="35"/>
  <c r="D46" i="35"/>
  <c r="S39" i="36"/>
  <c r="D47" i="35" s="1"/>
  <c r="F44" i="36"/>
  <c r="D52" i="35" s="1"/>
  <c r="AO52" i="35" s="1"/>
  <c r="AO36" i="35"/>
  <c r="F40" i="36"/>
  <c r="AO16" i="35"/>
  <c r="AO37" i="35"/>
  <c r="AK16" i="35"/>
  <c r="AB13" i="35"/>
  <c r="AK17" i="35"/>
  <c r="AA18" i="35"/>
  <c r="AH18" i="35"/>
  <c r="AI14" i="35"/>
  <c r="AC17" i="35"/>
  <c r="AF13" i="35"/>
  <c r="AL15" i="35"/>
  <c r="AE14" i="35"/>
  <c r="AO76" i="35"/>
  <c r="AA13" i="35"/>
  <c r="AI15" i="35"/>
  <c r="AE16" i="35"/>
  <c r="AH17" i="35"/>
  <c r="AO73" i="35"/>
  <c r="AC14" i="35"/>
  <c r="AJ15" i="35"/>
  <c r="AF16" i="35"/>
  <c r="AI17" i="35"/>
  <c r="AO74" i="35"/>
  <c r="AD14" i="35"/>
  <c r="AK15" i="35"/>
  <c r="AG16" i="35"/>
  <c r="AJ17" i="35"/>
  <c r="AO75" i="35"/>
  <c r="AC13" i="35"/>
  <c r="AF14" i="35"/>
  <c r="AM15" i="35"/>
  <c r="AL16" i="35"/>
  <c r="AD13" i="35"/>
  <c r="AG14" i="35"/>
  <c r="AM16" i="35"/>
  <c r="AE13" i="35"/>
  <c r="AH14" i="35"/>
  <c r="AG18" i="35"/>
  <c r="AG13" i="35"/>
  <c r="AJ14" i="35"/>
  <c r="AA16" i="35"/>
  <c r="AD17" i="35"/>
  <c r="AJ18" i="35"/>
  <c r="AO78" i="35"/>
  <c r="AK13" i="35"/>
  <c r="AK14" i="35"/>
  <c r="AB16" i="35"/>
  <c r="AE17" i="35"/>
  <c r="AK18" i="35"/>
  <c r="AO71" i="35"/>
  <c r="AL13" i="35"/>
  <c r="AC16" i="35"/>
  <c r="AF17" i="35"/>
  <c r="AL18" i="35"/>
  <c r="AM13" i="35"/>
  <c r="AH15" i="35"/>
  <c r="AD16" i="35"/>
  <c r="AG17" i="35"/>
  <c r="AM18" i="35"/>
  <c r="AB15" i="35"/>
  <c r="AC15" i="35"/>
  <c r="AG15" i="35"/>
  <c r="AB18" i="35"/>
  <c r="AC18" i="35"/>
  <c r="Q18" i="35"/>
  <c r="AO18" i="35" s="1"/>
  <c r="AN96" i="35"/>
  <c r="AN95" i="35"/>
  <c r="AI18" i="35"/>
  <c r="Q13" i="35"/>
  <c r="AO13" i="35" s="1"/>
  <c r="AL14" i="35"/>
  <c r="AD15" i="35"/>
  <c r="AH16" i="35"/>
  <c r="AL17" i="35"/>
  <c r="AI13" i="35"/>
  <c r="AA14" i="35"/>
  <c r="AM14" i="35"/>
  <c r="AE15" i="35"/>
  <c r="AI16" i="35"/>
  <c r="AA17" i="35"/>
  <c r="AM17" i="35"/>
  <c r="AE18" i="35"/>
  <c r="AH13" i="35"/>
  <c r="AD18" i="35"/>
  <c r="AJ13" i="35"/>
  <c r="AB14" i="35"/>
  <c r="AO14" i="35"/>
  <c r="AF15" i="35"/>
  <c r="AJ16" i="35"/>
  <c r="AB17" i="35"/>
  <c r="AO17" i="35"/>
  <c r="D26" i="35" l="1"/>
  <c r="F25" i="36"/>
  <c r="AO47" i="35"/>
  <c r="D48" i="35"/>
  <c r="AL26" i="35"/>
  <c r="AK26" i="35"/>
  <c r="AJ26" i="35"/>
  <c r="AF26" i="35"/>
  <c r="AI26" i="35"/>
  <c r="AH26" i="35"/>
  <c r="AE26" i="35"/>
  <c r="AD26" i="35"/>
  <c r="AG26" i="35"/>
  <c r="AC26" i="35"/>
  <c r="AB26" i="35"/>
  <c r="AA26" i="35"/>
  <c r="AM26" i="35"/>
  <c r="AO26" i="35"/>
  <c r="AO79" i="35"/>
  <c r="AO67" i="35"/>
  <c r="AO59" i="35"/>
  <c r="AO56" i="35"/>
  <c r="AO58" i="35"/>
  <c r="AO61" i="35"/>
  <c r="AO57" i="35"/>
  <c r="AO63" i="35"/>
  <c r="AO60" i="35"/>
  <c r="AO65" i="35"/>
  <c r="AO64" i="35"/>
  <c r="AO69" i="35"/>
  <c r="AO68" i="35"/>
  <c r="AO62" i="35"/>
  <c r="AO40" i="35"/>
  <c r="AP38" i="35" s="1"/>
  <c r="AO46" i="35"/>
  <c r="AA15" i="35"/>
  <c r="Q15" i="35"/>
  <c r="AO15" i="35" s="1"/>
  <c r="AO48" i="35" l="1"/>
  <c r="AO94" i="35" s="1"/>
  <c r="AP53" i="35" s="1"/>
  <c r="AP36" i="35"/>
  <c r="AP37" i="35"/>
  <c r="AP39" i="35"/>
  <c r="AI29" i="35"/>
  <c r="AI95" i="35" s="1"/>
  <c r="AA29" i="35"/>
  <c r="AD29" i="35"/>
  <c r="AD96" i="35" s="1"/>
  <c r="AB29" i="35"/>
  <c r="AB95" i="35" s="1"/>
  <c r="AL29" i="35"/>
  <c r="AL96" i="35" s="1"/>
  <c r="AM29" i="35"/>
  <c r="AM96" i="35" s="1"/>
  <c r="AJ29" i="35"/>
  <c r="AJ96" i="35" s="1"/>
  <c r="AH29" i="35"/>
  <c r="AG29" i="35"/>
  <c r="AG96" i="35" s="1"/>
  <c r="AF29" i="35"/>
  <c r="AF95" i="35" s="1"/>
  <c r="AE29" i="35"/>
  <c r="AE96" i="35" s="1"/>
  <c r="AK29" i="35"/>
  <c r="AK95" i="35" s="1"/>
  <c r="AC29" i="35"/>
  <c r="AO29" i="35"/>
  <c r="AK96" i="35" l="1"/>
  <c r="AP40" i="35"/>
  <c r="AP61" i="35"/>
  <c r="AP54" i="35"/>
  <c r="AP93" i="35"/>
  <c r="AP42" i="35"/>
  <c r="AP47" i="35"/>
  <c r="AP67" i="35"/>
  <c r="AP43" i="35"/>
  <c r="AP46" i="35"/>
  <c r="AP45" i="35"/>
  <c r="AP51" i="35"/>
  <c r="AP60" i="35"/>
  <c r="AP90" i="35"/>
  <c r="AP64" i="35"/>
  <c r="AP86" i="35"/>
  <c r="AP48" i="35"/>
  <c r="AP83" i="35"/>
  <c r="AP89" i="35"/>
  <c r="AP62" i="35"/>
  <c r="AP77" i="35"/>
  <c r="AP81" i="35"/>
  <c r="AP55" i="35"/>
  <c r="AP56" i="35"/>
  <c r="AP63" i="35"/>
  <c r="AP65" i="35"/>
  <c r="AP50" i="35"/>
  <c r="AP87" i="35"/>
  <c r="AP71" i="35"/>
  <c r="AP88" i="35"/>
  <c r="AP69" i="35"/>
  <c r="AP49" i="35"/>
  <c r="AP75" i="35"/>
  <c r="AP80" i="35"/>
  <c r="AP92" i="35"/>
  <c r="AP82" i="35"/>
  <c r="AP57" i="35"/>
  <c r="AP91" i="35"/>
  <c r="AP68" i="35"/>
  <c r="AP74" i="35"/>
  <c r="AP72" i="35"/>
  <c r="AP70" i="35"/>
  <c r="AP84" i="35"/>
  <c r="AP52" i="35"/>
  <c r="AP76" i="35"/>
  <c r="AP73" i="35"/>
  <c r="AP41" i="35"/>
  <c r="AP78" i="35"/>
  <c r="AP58" i="35"/>
  <c r="AP79" i="35"/>
  <c r="AP44" i="35"/>
  <c r="AP85" i="35"/>
  <c r="AP59" i="35"/>
  <c r="AI96" i="35"/>
  <c r="AE95" i="35"/>
  <c r="AF96" i="35"/>
  <c r="AL95" i="35"/>
  <c r="AO96" i="35"/>
  <c r="AP25" i="35"/>
  <c r="AO95" i="35"/>
  <c r="AP12" i="35"/>
  <c r="AP23" i="35"/>
  <c r="AP15" i="35"/>
  <c r="AP18" i="35"/>
  <c r="AP10" i="35"/>
  <c r="AP27" i="35"/>
  <c r="AP13" i="35"/>
  <c r="AP19" i="35"/>
  <c r="AP22" i="35"/>
  <c r="AP26" i="35"/>
  <c r="AP17" i="35"/>
  <c r="AP11" i="35"/>
  <c r="AP21" i="35"/>
  <c r="AP16" i="35"/>
  <c r="AP14" i="35"/>
  <c r="AP24" i="35"/>
  <c r="AP20" i="35"/>
  <c r="AP28" i="35"/>
  <c r="AA96" i="35"/>
  <c r="AA95" i="35"/>
  <c r="AB96" i="35"/>
  <c r="AM95" i="35"/>
  <c r="AG95" i="35"/>
  <c r="AJ95" i="35"/>
  <c r="AD95" i="35"/>
  <c r="AQ28" i="35" l="1"/>
  <c r="AQ10" i="35"/>
  <c r="AR53" i="35"/>
  <c r="AR10" i="35"/>
  <c r="AR11" i="35"/>
  <c r="AQ21" i="35"/>
  <c r="AQ13" i="35"/>
  <c r="AP94" i="35"/>
  <c r="AQ19" i="35"/>
  <c r="AQ18" i="35"/>
  <c r="AQ14" i="35"/>
  <c r="AQ17" i="35"/>
  <c r="AR60" i="35"/>
  <c r="AR13" i="35"/>
  <c r="AR36" i="35"/>
  <c r="AR57" i="35"/>
  <c r="AR52" i="35"/>
  <c r="AR47" i="35"/>
  <c r="AR62" i="35"/>
  <c r="AR41" i="35"/>
  <c r="AR74" i="35"/>
  <c r="AQ15" i="35"/>
  <c r="AR20" i="35"/>
  <c r="AQ24" i="35"/>
  <c r="AQ23" i="35"/>
  <c r="AQ22" i="35"/>
  <c r="AR80" i="35"/>
  <c r="AQ26" i="35"/>
  <c r="AR49" i="35"/>
  <c r="AQ38" i="35"/>
  <c r="AR21" i="35"/>
  <c r="AP29" i="35"/>
  <c r="AR17" i="35"/>
  <c r="AR24" i="35"/>
  <c r="AR82" i="35"/>
  <c r="AR39" i="35"/>
  <c r="AR81" i="35"/>
  <c r="AR64" i="35"/>
  <c r="AR27" i="35"/>
  <c r="AR22" i="35"/>
  <c r="AR26" i="35"/>
  <c r="AR73" i="35"/>
  <c r="AR85" i="35"/>
  <c r="AR69" i="35"/>
  <c r="AQ11" i="35"/>
  <c r="AR16" i="35"/>
  <c r="AR48" i="35"/>
  <c r="AR90" i="35"/>
  <c r="AR89" i="35"/>
  <c r="AR72" i="35"/>
  <c r="AQ27" i="35"/>
  <c r="AR59" i="35"/>
  <c r="AR83" i="35"/>
  <c r="AR78" i="35"/>
  <c r="AR44" i="35"/>
  <c r="AR93" i="35"/>
  <c r="AR76" i="35"/>
  <c r="AQ16" i="35"/>
  <c r="AR18" i="35"/>
  <c r="AR71" i="35"/>
  <c r="AR87" i="35"/>
  <c r="AR12" i="35"/>
  <c r="AR86" i="35"/>
  <c r="AR38" i="35"/>
  <c r="AQ39" i="35"/>
  <c r="AR14" i="35"/>
  <c r="AR70" i="35"/>
  <c r="AR77" i="35"/>
  <c r="AR68" i="35"/>
  <c r="AR50" i="35"/>
  <c r="AR42" i="35"/>
  <c r="AR54" i="35"/>
  <c r="AQ20" i="35"/>
  <c r="AR67" i="35"/>
  <c r="AR91" i="35"/>
  <c r="AR79" i="35"/>
  <c r="AR23" i="35"/>
  <c r="AR19" i="35"/>
  <c r="AR45" i="35"/>
  <c r="AR15" i="35"/>
  <c r="AR63" i="35"/>
  <c r="AR92" i="35"/>
  <c r="AR43" i="35"/>
  <c r="AR65" i="35"/>
  <c r="AR51" i="35"/>
  <c r="AR46" i="35"/>
  <c r="AR84" i="35"/>
  <c r="AR37" i="35"/>
  <c r="AR25" i="35"/>
  <c r="AR56" i="35"/>
  <c r="AR58" i="35"/>
  <c r="AR55" i="35"/>
  <c r="AR88" i="35"/>
  <c r="AR61" i="35"/>
  <c r="AR28" i="35"/>
  <c r="AR75" i="35"/>
  <c r="AQ12" i="35"/>
  <c r="AQ36" i="35"/>
  <c r="AQ25" i="35"/>
  <c r="AQ37" i="35"/>
  <c r="AQ95" i="35" l="1"/>
  <c r="AR95" i="35"/>
  <c r="D9" i="13" l="1"/>
  <c r="G9" i="13" s="1"/>
  <c r="F9" i="13"/>
  <c r="F10" i="13"/>
  <c r="E10" i="13"/>
  <c r="E9" i="13"/>
  <c r="D10" i="13"/>
  <c r="G10" i="13" s="1"/>
  <c r="F7" i="13" l="1"/>
  <c r="E6" i="13"/>
  <c r="D6" i="13"/>
  <c r="E7" i="13"/>
  <c r="D7" i="13"/>
  <c r="G7" i="13" s="1"/>
  <c r="G68" i="13"/>
  <c r="G66" i="13"/>
  <c r="G57" i="13"/>
  <c r="F17" i="13" s="1"/>
  <c r="F42" i="13"/>
  <c r="E42" i="13"/>
  <c r="D42" i="13"/>
  <c r="F41" i="13"/>
  <c r="E41" i="13"/>
  <c r="D41" i="13"/>
  <c r="F40" i="13"/>
  <c r="E40" i="13"/>
  <c r="D40" i="13"/>
  <c r="F39" i="13"/>
  <c r="E39" i="13"/>
  <c r="D39" i="13"/>
  <c r="G39" i="13" s="1"/>
  <c r="F37" i="13"/>
  <c r="E37" i="13"/>
  <c r="D37" i="13"/>
  <c r="F36" i="13"/>
  <c r="E36" i="13"/>
  <c r="D36" i="13"/>
  <c r="F35" i="13"/>
  <c r="E35" i="13"/>
  <c r="D35" i="13"/>
  <c r="G35" i="13" s="1"/>
  <c r="F34" i="13"/>
  <c r="E34" i="13"/>
  <c r="D34" i="13"/>
  <c r="G34" i="13" s="1"/>
  <c r="F32" i="13"/>
  <c r="E32" i="13"/>
  <c r="D32" i="13"/>
  <c r="F31" i="13"/>
  <c r="E31" i="13"/>
  <c r="D31" i="13"/>
  <c r="F30" i="13"/>
  <c r="E30" i="13"/>
  <c r="D30" i="13"/>
  <c r="G30" i="13" s="1"/>
  <c r="F29" i="13"/>
  <c r="E29" i="13"/>
  <c r="D29" i="13"/>
  <c r="G29" i="13" s="1"/>
  <c r="F25" i="13"/>
  <c r="F26" i="13" s="1"/>
  <c r="E25" i="13"/>
  <c r="E26" i="13" s="1"/>
  <c r="D25" i="13"/>
  <c r="F24" i="13"/>
  <c r="E24" i="13"/>
  <c r="D24" i="13"/>
  <c r="F23" i="13"/>
  <c r="E23" i="13"/>
  <c r="D23" i="13"/>
  <c r="G23" i="13" s="1"/>
  <c r="F22" i="13"/>
  <c r="E22" i="13"/>
  <c r="D22" i="13"/>
  <c r="G22" i="13" s="1"/>
  <c r="F21" i="13"/>
  <c r="E21" i="13"/>
  <c r="D21" i="13"/>
  <c r="F20" i="13"/>
  <c r="E20" i="13"/>
  <c r="D20" i="13"/>
  <c r="D17" i="13"/>
  <c r="F15" i="13"/>
  <c r="F16" i="13" s="1"/>
  <c r="E15" i="13"/>
  <c r="E16" i="13" s="1"/>
  <c r="D15" i="13"/>
  <c r="F14" i="13"/>
  <c r="E14" i="13"/>
  <c r="D14" i="13"/>
  <c r="G14" i="13" s="1"/>
  <c r="F13" i="13"/>
  <c r="E13" i="13"/>
  <c r="D13" i="13"/>
  <c r="F12" i="13"/>
  <c r="E12" i="13"/>
  <c r="D12" i="13"/>
  <c r="G12" i="13" s="1"/>
  <c r="F11" i="13"/>
  <c r="E11" i="13"/>
  <c r="D11" i="13"/>
  <c r="G11" i="13" s="1"/>
  <c r="F8" i="13"/>
  <c r="E8" i="13"/>
  <c r="D8" i="13"/>
  <c r="G8" i="13" s="1"/>
  <c r="F6" i="13"/>
  <c r="G13" i="13" l="1"/>
  <c r="G21" i="13"/>
  <c r="D26" i="13"/>
  <c r="G26" i="13" s="1"/>
  <c r="G25" i="13"/>
  <c r="G32" i="13"/>
  <c r="G37" i="13"/>
  <c r="G42" i="13"/>
  <c r="D16" i="13"/>
  <c r="G16" i="13" s="1"/>
  <c r="G15" i="13"/>
  <c r="G40" i="13"/>
  <c r="G6" i="13"/>
  <c r="G24" i="13"/>
  <c r="G41" i="13"/>
  <c r="G20" i="13"/>
  <c r="G31" i="13"/>
  <c r="G36" i="13"/>
  <c r="E17" i="13"/>
  <c r="G1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tc={40C5AAD4-A14B-4AC2-A3CB-22F44EBB06D3}</author>
    <author>tc={5F24384A-7013-4DE7-9127-BA14B73B7BBE}</author>
  </authors>
  <commentList>
    <comment ref="A10" authorId="0" shapeId="0" xr:uid="{3CD450A9-C201-4892-A204-A0233D940C1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Fleet card :Shell</t>
        </r>
      </text>
    </comment>
    <comment ref="A11" authorId="0" shapeId="0" xr:uid="{8F80E515-336C-4C16-A28C-61E1893F316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Fleet card PTT
- บท-9680
- 83-9095</t>
        </r>
      </text>
    </comment>
    <comment ref="A12" authorId="0" shapeId="0" xr:uid="{4927F48F-058F-4322-B741-4020DCC33EA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Fleet card PTT/SHELL</t>
        </r>
      </text>
    </comment>
    <comment ref="A13" authorId="0" shapeId="0" xr:uid="{18FCBB73-C51C-44FA-8A55-3AA0D3795FD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Fleet card SHELL;
- ญร-4569
- ภฮ-9789
- 4ขอ-1948 </t>
        </r>
      </text>
    </comment>
    <comment ref="A14" authorId="0" shapeId="0" xr:uid="{E9D28CD8-EDCD-4EB3-8D72-3BEBFAFABA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Fleet card SHELL;
- 34 Dummy
- 1ขญ-1643
</t>
        </r>
      </text>
    </comment>
    <comment ref="A15" authorId="0" shapeId="0" xr:uid="{DAA75BFE-A9A3-4758-BA92-BA33E129B92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Fleet card PTT
- 2ขล-9545
- ฎพ-9779
- ฮฐ-6328
</t>
        </r>
      </text>
    </comment>
    <comment ref="F20" authorId="0" shapeId="0" xr:uid="{5DDE9880-B448-4AFD-BA81-4AACE2D7D3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2.76 kg</t>
        </r>
      </text>
    </comment>
    <comment ref="A29" authorId="0" shapeId="0" xr:uid="{7E469C84-D4FB-4486-B062-AA71CC54E49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หมายเลขเครื่องวัด35123887</t>
        </r>
      </text>
    </comment>
    <comment ref="S38" authorId="1" shapeId="0" xr:uid="{40C5AAD4-A14B-4AC2-A3CB-22F44EBB06D3}">
      <text>
        <t>[Threaded comment]
Your version of Excel allows you to read this threaded comment; however, any edits to it will get removed if the file is opened in a newer version of Excel. Learn more: https://go.microsoft.com/fwlink/?linkid=870924
Comment:
    แปลงหน่วยเป็น kg</t>
      </text>
    </comment>
    <comment ref="S50" authorId="2" shapeId="0" xr:uid="{5F24384A-7013-4DE7-9127-BA14B73B7BBE}">
      <text>
        <t>[Threaded comment]
Your version of Excel allows you to read this threaded comment; however, any edits to it will get removed if the file is opened in a newer version of Excel. Learn more: https://go.microsoft.com/fwlink/?linkid=870924
Comment:
    แปลงหน่วยเป็น kg</t>
      </text>
    </comment>
    <comment ref="A71" authorId="0" shapeId="0" xr:uid="{84434343-634C-46AF-8D05-A86E404422E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หมายเลขเครื่องวัด 36028073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<sst xmlns="http://schemas.openxmlformats.org/spreadsheetml/2006/main" count="704" uniqueCount="255">
  <si>
    <r>
      <rPr>
        <b/>
        <sz val="10"/>
        <rFont val="Times New Roman"/>
        <family val="1"/>
      </rPr>
      <t>TCFO_R_01</t>
    </r>
    <r>
      <rPr>
        <sz val="10"/>
        <rFont val="Times New Roman"/>
        <family val="1"/>
      </rPr>
      <t xml:space="preserve">
Version 04 : 21/2/2020</t>
    </r>
  </si>
  <si>
    <t>ชื่อฟอร์ม</t>
  </si>
  <si>
    <t>บัญชีรายการก๊าซเรือนกระจก</t>
  </si>
  <si>
    <t>องค์กร</t>
  </si>
  <si>
    <t xml:space="preserve">หน้าที่ </t>
  </si>
  <si>
    <t>รหัสฟอร์ม</t>
  </si>
  <si>
    <t>ผู้จัดทำ</t>
  </si>
  <si>
    <t>เดือน</t>
  </si>
  <si>
    <t>1.การปล่อยก๊าซเรือนกระจกที่เกิดขึ้นจากการเผาไหม้อยู่กับที่ (Stationary Combustion)</t>
  </si>
  <si>
    <t>n/a</t>
  </si>
  <si>
    <t>2.การปล่อยก๊าซเรือนกระจกที่เกิดขึ้นจากการเผาไหม้แบบเคลื่อนที่ (Mobile Combustion)</t>
  </si>
  <si>
    <t>3.การปล่อยก๊าซเรือนกระจกที่เกิดขึ้นจากกระบวนการผลิต (Industrtial process)</t>
  </si>
  <si>
    <t>HFC-32</t>
  </si>
  <si>
    <t>HFC-410a</t>
  </si>
  <si>
    <t>5.การปล่อยก๊าซเรือนกระจกจากป่าไม้/ชีวมวล</t>
  </si>
  <si>
    <t>วันที่</t>
  </si>
  <si>
    <t>จัดทำโดย</t>
  </si>
  <si>
    <t>x</t>
  </si>
  <si>
    <t>หน่วย</t>
  </si>
  <si>
    <t>ปริมาณ</t>
  </si>
  <si>
    <t>EF_CFP_No.575</t>
  </si>
  <si>
    <t>EF_CFP_No.234</t>
  </si>
  <si>
    <t>ICAO</t>
  </si>
  <si>
    <t>ปีที่เก็บข้อมูล</t>
  </si>
  <si>
    <t>Fr-04.1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</si>
  <si>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</si>
  <si>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</si>
  <si>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</si>
  <si>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</si>
  <si>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</si>
  <si>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</si>
  <si>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ที่มา</t>
  </si>
  <si>
    <t>Subsitute</t>
  </si>
  <si>
    <t>แหล่งอ้างอิง</t>
  </si>
  <si>
    <t>ผลคูณ (Ton GHG)</t>
  </si>
  <si>
    <t>ผลคูณ (TonCO2e)</t>
  </si>
  <si>
    <t>Total GHG</t>
  </si>
  <si>
    <t>สัดส่วน (%)</t>
  </si>
  <si>
    <t>สัดส่วน (%) (SCOPE 1+2)</t>
  </si>
  <si>
    <t>สัดส่วน (%) (SCOPE 1+2+3)</t>
  </si>
  <si>
    <t>คำอธิบายเพิ่มเติม</t>
  </si>
  <si>
    <r>
      <t>GWP</t>
    </r>
    <r>
      <rPr>
        <b/>
        <vertAlign val="subscript"/>
        <sz val="9"/>
        <color theme="0"/>
        <rFont val="Times New Roman"/>
        <family val="1"/>
      </rPr>
      <t>100</t>
    </r>
  </si>
  <si>
    <t>1st</t>
  </si>
  <si>
    <t>2nd</t>
  </si>
  <si>
    <t>Other</t>
  </si>
  <si>
    <t>IPCC, AR5</t>
  </si>
  <si>
    <t>ค่า EF (kg GHG/หน่วย)</t>
  </si>
  <si>
    <t>Self collct</t>
  </si>
  <si>
    <t>Supplier</t>
  </si>
  <si>
    <t>TH LCI DB</t>
  </si>
  <si>
    <t>TGO EF</t>
  </si>
  <si>
    <t>Thai Res.</t>
  </si>
  <si>
    <t>Int. DB</t>
  </si>
  <si>
    <t xml:space="preserve"> (TonCO2e)</t>
  </si>
  <si>
    <t>CO2</t>
  </si>
  <si>
    <r>
      <t>CO</t>
    </r>
    <r>
      <rPr>
        <b/>
        <vertAlign val="subscript"/>
        <sz val="9"/>
        <color theme="0"/>
        <rFont val="Times New Roman"/>
        <family val="1"/>
      </rPr>
      <t>2</t>
    </r>
  </si>
  <si>
    <t xml:space="preserve">Fossil CH4 </t>
  </si>
  <si>
    <r>
      <t>CH</t>
    </r>
    <r>
      <rPr>
        <b/>
        <vertAlign val="subscript"/>
        <sz val="9"/>
        <color theme="0"/>
        <rFont val="Times New Roman"/>
        <family val="1"/>
      </rPr>
      <t>4</t>
    </r>
  </si>
  <si>
    <r>
      <t>N</t>
    </r>
    <r>
      <rPr>
        <b/>
        <vertAlign val="subscript"/>
        <sz val="9"/>
        <color theme="0"/>
        <rFont val="Times New Roman"/>
        <family val="1"/>
      </rPr>
      <t>2</t>
    </r>
    <r>
      <rPr>
        <b/>
        <sz val="9"/>
        <color theme="0"/>
        <rFont val="Times New Roman"/>
        <family val="1"/>
      </rPr>
      <t>O</t>
    </r>
  </si>
  <si>
    <r>
      <t>SF</t>
    </r>
    <r>
      <rPr>
        <b/>
        <vertAlign val="subscript"/>
        <sz val="9"/>
        <color theme="0"/>
        <rFont val="Times New Roman"/>
        <family val="1"/>
      </rPr>
      <t>6</t>
    </r>
  </si>
  <si>
    <r>
      <t>NF</t>
    </r>
    <r>
      <rPr>
        <b/>
        <vertAlign val="subscript"/>
        <sz val="9"/>
        <color theme="0"/>
        <rFont val="Times New Roman"/>
        <family val="1"/>
      </rPr>
      <t>3</t>
    </r>
  </si>
  <si>
    <t>HFCs</t>
  </si>
  <si>
    <t>PFCs</t>
  </si>
  <si>
    <t>CH4</t>
  </si>
  <si>
    <t>N2O</t>
  </si>
  <si>
    <t>SF6</t>
  </si>
  <si>
    <t>NF3</t>
  </si>
  <si>
    <t>ขอบเขต 1</t>
  </si>
  <si>
    <t>EF_CFO_Diesel-Industry  [Moblie combustion]</t>
  </si>
  <si>
    <t>EF_CFO_Diesel  [Moblie combustion]</t>
  </si>
  <si>
    <t>EF_CFO_Gasoline [Moblie combustion]</t>
  </si>
  <si>
    <t>การปล่อย GHG โดยตรงที่ทำการรายงานแยก</t>
  </si>
  <si>
    <t>ขอบเขต 2</t>
  </si>
  <si>
    <t>ขอบเขต 3</t>
  </si>
  <si>
    <t>CAT1: การปล่อยก๊าซเรือนกระจกทางอ้อมจากการซื้อวัตถุดิบ และบริการ (Purchased goods and services)</t>
  </si>
  <si>
    <t>CAT4: การปล่อยก๊าซเรือนกระจกทางออ้มจากการขนส่ง และกระจายสินค้าต้นน้ำ (Upstream transportation and distribution)</t>
  </si>
  <si>
    <t>CAT9: การปล่อยก๊าซเรือนกระจกทางอ้อมจากการขนส่ง และกระจายสินค้า (Downstream transportation and distribution)</t>
  </si>
  <si>
    <t>kg</t>
  </si>
  <si>
    <t>LPG</t>
  </si>
  <si>
    <t>ชื่อ</t>
  </si>
  <si>
    <t>Units</t>
  </si>
  <si>
    <t>EMISSION FACTORS</t>
  </si>
  <si>
    <t>แหล่งอ้างอิงข้อมูล</t>
  </si>
  <si>
    <r>
      <t>GWP</t>
    </r>
    <r>
      <rPr>
        <b/>
        <vertAlign val="subscript"/>
        <sz val="11"/>
        <color theme="0"/>
        <rFont val="Calibri"/>
        <family val="2"/>
        <scheme val="minor"/>
      </rPr>
      <t>100</t>
    </r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</si>
  <si>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</si>
  <si>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</si>
  <si>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Total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</si>
  <si>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</si>
  <si>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</si>
  <si>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</si>
  <si>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</si>
  <si>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Stationary Combustion</t>
  </si>
  <si>
    <t>Natural gas</t>
  </si>
  <si>
    <t>scf</t>
  </si>
  <si>
    <t>IPCC Vol.2 table 2.2, DEDE</t>
  </si>
  <si>
    <t>MJ</t>
  </si>
  <si>
    <t>Lignite</t>
  </si>
  <si>
    <t>Fuel oil A</t>
  </si>
  <si>
    <t>litre</t>
  </si>
  <si>
    <t>IPCC Vol.2 table 2.2, PTT</t>
  </si>
  <si>
    <t>Fuel oil C</t>
  </si>
  <si>
    <t>PASS: 12345678</t>
  </si>
  <si>
    <t>Gas/Diesel oil</t>
  </si>
  <si>
    <t>Anthracite</t>
  </si>
  <si>
    <t>Sub-bituminous coal</t>
  </si>
  <si>
    <t>Jet Kerosene</t>
  </si>
  <si>
    <t>IPCC Vol.2 table 2.2, DEDE LPG 1 litre = 0.54 kg</t>
  </si>
  <si>
    <t>Motor gasoline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</si>
  <si>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</si>
  <si>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</si>
  <si>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</si>
  <si>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</si>
  <si>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</si>
  <si>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</si>
  <si>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</si>
  <si>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</si>
  <si>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</si>
  <si>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</si>
  <si>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</si>
  <si>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</si>
  <si>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</si>
  <si>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</si>
  <si>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</si>
  <si>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</si>
  <si>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</si>
  <si>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</si>
  <si>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</si>
  <si>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</si>
  <si>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</si>
  <si>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</si>
  <si>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</si>
  <si>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</si>
  <si>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</si>
  <si>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</si>
  <si>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*ref. from PTT</t>
  </si>
  <si>
    <t>gasoline</t>
  </si>
  <si>
    <t>Motor Gasoline -oxydation catalyst</t>
  </si>
  <si>
    <t xml:space="preserve">Mobile Combustion (Off road) </t>
  </si>
  <si>
    <t>Gasoline</t>
  </si>
  <si>
    <t>เครื่องบิน</t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</si>
  <si>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</si>
  <si>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t>IPCC, AR4</t>
  </si>
  <si>
    <t>KM</t>
  </si>
  <si>
    <t>TKM</t>
  </si>
  <si>
    <r>
      <t>GWP</t>
    </r>
    <r>
      <rPr>
        <b/>
        <vertAlign val="subscript"/>
        <sz val="10"/>
        <color theme="0"/>
        <rFont val="Times New Roman"/>
        <family val="1"/>
      </rPr>
      <t>100</t>
    </r>
  </si>
  <si>
    <t>EF_CFO_Refrigerants</t>
  </si>
  <si>
    <t>IPCC 2013_Fifth Assesment Report (AR5)</t>
  </si>
  <si>
    <t>kgCH4</t>
  </si>
  <si>
    <t>IPCC 2006_Chapter4_Biological Treatment of Solid Waste_Table 4.1</t>
  </si>
  <si>
    <t>EF_CFO_Electricity grid Mix</t>
  </si>
  <si>
    <t>CAT2: การปล่อยก๊าซเรือนกระจกทางอ้อมจากสินค้าประเภททุน (Capital goods)</t>
  </si>
  <si>
    <t>EF_CFP_No.51</t>
  </si>
  <si>
    <t>EF_CFP_No.52</t>
  </si>
  <si>
    <t>EF_CFP_No.55</t>
  </si>
  <si>
    <t>EF_CFP - EF_CFO</t>
  </si>
  <si>
    <t>CAT5: การปล่อยก๊าซเรือนกระจกทางอ้อมจากการกำจัดของเสียที่เกิดจากการดำเนินกิจกรรมขององค์กร (Waste generated in operations)</t>
  </si>
  <si>
    <t>EF_CFP_No.237</t>
  </si>
  <si>
    <t>CAT6: การปล่อยก๊าซเรือนกระจกทางอ้อมจากการเดินทางเพื่อธุรกิจ (Business travel)</t>
  </si>
  <si>
    <t>CAT7: การปล่อยก๊าซเรือนกระจกทางอ้อมจากการเดินทางของพนักงาน (Employee commuting)</t>
  </si>
  <si>
    <t>CAT8:. การปล่อยก๊าซเรือนกระจกทางอ้อมจากการใช้สินทรัพย์ที่เช่า (Upstream leased assets)</t>
  </si>
  <si>
    <t>CAT10: การปล่อยก๊าซเรือนกระจกทางอ้อมจากการแปรรูปสินค้าที่องค์กรจำหน่าย (Processing of sold products)</t>
  </si>
  <si>
    <t>CAT11: การปล่อยก๊าซเรือนกระจกทางอ้อมจากการใช้งานของผลิตภัณฑ์ที่องค์กรจำหน่าย (Use of sold products)</t>
  </si>
  <si>
    <t>CAT12: การปล่อยก๊าซเรือนกระจกทางอ้อมจากการกำจัดซากผลิตภัณฑ์ที่องค์กรจำหน่าย (End-of-life treatment of sold products)</t>
  </si>
  <si>
    <t>CAT13: การปล่อยก๊าซเรือนกระจกทางอ้อมจากการปล่อยเช่าสินทรัพย์ขององค์กร (Downstream leased assets)</t>
  </si>
  <si>
    <t>EF_CFP_No.59</t>
  </si>
  <si>
    <t>CAT14: การปล่อยก๊าซเรือนกระจกทางอ้อมจากแฟรนไชส์ (Franchises)</t>
  </si>
  <si>
    <t>CAT15:การปล่อยก๊าซเรือนกระจกทางอ้อมจากการลงทุน (Investments)</t>
  </si>
  <si>
    <t>แหล่งปล่อยก๊าซเรือนกระจก</t>
  </si>
  <si>
    <t>หลักฐานอ้างอิง</t>
  </si>
  <si>
    <t>ผู้รับผิดชอบข้อมูล</t>
  </si>
  <si>
    <t>หน่วยงานที่รับผิดชอบ</t>
  </si>
  <si>
    <t>รวม</t>
  </si>
  <si>
    <t>Scope 1: การปล่อยก๊าซเรือนกระจกทางตรงขององค์กร (Direct GHG Emissions)</t>
  </si>
  <si>
    <t>Litre</t>
  </si>
  <si>
    <t>-</t>
  </si>
  <si>
    <t>Refrigerant</t>
  </si>
  <si>
    <t>คำนวณจากสูตร</t>
  </si>
  <si>
    <t xml:space="preserve">ธนบดี </t>
  </si>
  <si>
    <t>ฝ่ายบริหารยุทธศาสตร์ความยั่งยืน</t>
  </si>
  <si>
    <t>kg/year</t>
  </si>
  <si>
    <t>รายการตรวจเช็คถังดับเพลิง</t>
  </si>
  <si>
    <t>ถังดับเพลิงชนิดสารเคมีแห้ง HCFC-123 (ไม่มีการรั่วไหล) (ไม่รายงาน เนื่องจากไม่อยู่ภายใต้ข้อกำหนดของ อบก.)</t>
  </si>
  <si>
    <t>Scope 2: การปล่อยก๊าซเรือนกระจกทางอ้อมจากการใช้พลังงานขององค์กร (Energy Indirect GHG Emissions)</t>
  </si>
  <si>
    <t>บิลไฟฟ้า</t>
  </si>
  <si>
    <t>Kwh</t>
  </si>
  <si>
    <t>Scope 3: การปล่อยก๊าซเรือนกระจกทางอ้อมจากกิจกรรมอื่นๆ (Other Indirect Emsiion)</t>
  </si>
  <si>
    <t>รายการทรัพย์สินที่มูลค่า 5000 บาท และอายุการใช้งาน 3 ปี ขึ้นไป</t>
  </si>
  <si>
    <t>ทะเบียนทรัพย์สิน</t>
  </si>
  <si>
    <t>ฝ่ายบัญชี-HO</t>
  </si>
  <si>
    <t>Baht</t>
  </si>
  <si>
    <t>CAT3: การปล่อยก๊าซเรือนกระจกทางอ้อมจากกิจกรรมที่เกี่ยวข้องกับเช้ือเพลิงและพลังงาน (Fuel- and energy related activities)</t>
  </si>
  <si>
    <t>Gasohol 91</t>
  </si>
  <si>
    <t>Gasohol 95</t>
  </si>
  <si>
    <t>Electricity power</t>
  </si>
  <si>
    <t>ขยะมูลฝอยส่งไป Sanitary Landfill</t>
  </si>
  <si>
    <t>รถบรรทุกขยะ 6 ล้อ วิ่งปกติ 0% Loading</t>
  </si>
  <si>
    <t>รถบรรทุกขยะ 6 ล้อ วิ่งปกติ 100% Loading</t>
  </si>
  <si>
    <t>kgCO2</t>
  </si>
  <si>
    <t>แท็กซี่ (NGV)</t>
  </si>
  <si>
    <t>ใบเสร็จรับเงิน</t>
  </si>
  <si>
    <t>Gasohol E20</t>
  </si>
  <si>
    <t>Diesel B7</t>
  </si>
  <si>
    <t>เครื่องถ่ายเอกสาร (หมึกปริ้น)</t>
  </si>
  <si>
    <t>4. การปล่อยก๊าซเรือนกระจกที่เกิดขึ้นจากการรั่วไหลและอื่นๆ (Fugitive Emission)</t>
  </si>
  <si>
    <t>EF_CFO_CNG</t>
  </si>
  <si>
    <t>EF_CFO_Motor Gasoline -Oxidant Catalyst</t>
  </si>
  <si>
    <t>ธนบดี</t>
  </si>
  <si>
    <t>CH4 from septic tank</t>
  </si>
  <si>
    <t>MY HR</t>
  </si>
  <si>
    <t>สุรชา</t>
  </si>
  <si>
    <t>แบบบันทึกข้อมูลปริมาณขยะ</t>
  </si>
  <si>
    <t>EF_CFO_Gas/Diesel oil Mobile onroad</t>
  </si>
  <si>
    <t>HFC-22 (ไม่รายงาน เนื่องจากไม่อยู่ภายใต้ข้อกำหนดของ อบก.)</t>
  </si>
  <si>
    <t>สารดับเพลิงชนิด CO2 (ไม่มีการใช้งาน)</t>
  </si>
  <si>
    <t>IPCC 2013_Fifth Assesment Report (AR5)[HFC32 :50%, HFC125:50%]</t>
  </si>
  <si>
    <t>EF_CFP_No.60</t>
  </si>
  <si>
    <t>Diesel B7 รถ forklift</t>
  </si>
  <si>
    <t>Fleetcard</t>
  </si>
  <si>
    <t>ปัณณรุจ ทองนพเก้า</t>
  </si>
  <si>
    <t>ฝ่ายบริหารทรัพยากรบุคคลและบริหารสำนักงานส่วนกลาง-HO</t>
  </si>
  <si>
    <t>จิรภัทร ทิพย์จันทร์</t>
  </si>
  <si>
    <t>Electricity power [ไฟฟ้าสำนักงานใหญ่]</t>
  </si>
  <si>
    <t>แอพโซล่าร์เซลล์</t>
  </si>
  <si>
    <t>Electricity power [ไฟฟ้ารวมที่องค์กรรับผิดชอบ]-สำนักงานใหญ่</t>
  </si>
  <si>
    <t>ใบเสร็จรับเงิน/ตั๋วเครื่องบิน</t>
  </si>
  <si>
    <t>พรมณี</t>
  </si>
  <si>
    <t>ฝ่ายตรวจสอบภายใน-HO</t>
  </si>
  <si>
    <t>ใบรับจ่ายเงินประจำเดือน</t>
  </si>
  <si>
    <t>แบบสำรวจการเดินทางของพนักงาน</t>
  </si>
  <si>
    <t>Lite</t>
  </si>
  <si>
    <t>การเช่าไฟฟ้าจากโกดัง</t>
  </si>
  <si>
    <t>การเช่าน้ำประปาจากโกดัง</t>
  </si>
  <si>
    <t>บิลน้ำประปา</t>
  </si>
  <si>
    <t>(จำนวนเงินประจำตำแหน่ง/ราคาเชื้อเพลิงเฉลี่ย)</t>
  </si>
  <si>
    <t>Gasohol 95 รถยนต์ขนาดกลาง ขนาด 1600 cc (ประจำตำแหน่งผู้จัดการ, สส7838)</t>
  </si>
  <si>
    <t>Gasohol 95 รถยนต์ขนาดเล็ก ขนาด 1500 cc (ประจำตำแหน่งผู้จัดการ, 5กภ5054, 8กฒ8081)</t>
  </si>
  <si>
    <t>Diesel B7 รถยนต์ขนาดใหญ่ ขนาด 2000 cc (ประจำตำแหน่งที่ปรึกษา, 5กณ1579)</t>
  </si>
  <si>
    <t>Gasohol 95 รถยนต์ขนาดกลาง ขนาด 1600 cc (ประจำตำแหน่งผู้ช่วยผู้จัดการ)</t>
  </si>
  <si>
    <t>Gasohol 91 รถจักรยานยนต์ (ประจำตำแหน่งคนส่งเอกสาร)</t>
  </si>
  <si>
    <t>Diesel B7 รถยนต์กระบะส่วนบุคคลขนาด 1 ตัน (ประจำตำแหน่งผู้ช่วยผู้จัดการ, สฎ3762)</t>
  </si>
  <si>
    <t>Gasohol 95 รถยนต์ขนาดเล็ก ขนาด 1500 cc (ประจำตำแหน่งผู้ช่วยผู้จัดการ, 3กพ991, 6กศ5365, 3ขท8660)</t>
  </si>
  <si>
    <t>Gasohol 95 รถยนต์ขนาดใหญ่ ขนาด 2000 cc (ประจำตำแหน่งผู้ช่วยผู้จัดการ, 2กค1623)</t>
  </si>
  <si>
    <t>Diesel B7 รถยนต์ขนาดใหญ่ ขนาด 2000 cc (ประจำตำแหน่งผู้ช่วยกรรมการสายงาน, 7กส9947)</t>
  </si>
  <si>
    <t>Gasohol 95 รถยนต์ขนาดเล็ก ขนาด 1500 cc (ประจำตำแหน่งฝ่ายขาย, กบ6320)</t>
  </si>
  <si>
    <t>Diesel B7 รถยนต์ขนาดใหญ่ ขนาด 2000 cc (ประจำตำแหน่งฝ่ายขาย, กช5กข8079)</t>
  </si>
  <si>
    <t>คำนวณจากผลรวม</t>
  </si>
  <si>
    <t>Gasohol 95 รถยนต์ขนาดใหญ่ 2000 cc (ประจำตำแหน่งผู้จัดการ, 1ขก7898, 3กฆ9021, 3ขบ1664)</t>
  </si>
  <si>
    <t>Electricity power [ไฟฟ้าโซล่าเซลล์]- สำนักงานใหญ่</t>
  </si>
  <si>
    <t>Activity Data Year 2025</t>
  </si>
  <si>
    <r>
      <t>Diesel B7/พรีเมียม รถยนต์ขนาดใหญ่ 2000 cc (</t>
    </r>
    <r>
      <rPr>
        <sz val="11"/>
        <color rgb="FFFF0000"/>
        <rFont val="Times New Roman"/>
        <family val="1"/>
      </rPr>
      <t>4ขอ 1948, 6กญ 2678</t>
    </r>
    <r>
      <rPr>
        <sz val="11"/>
        <color theme="1"/>
        <rFont val="Times New Roman"/>
        <family val="1"/>
      </rPr>
      <t>,</t>
    </r>
    <r>
      <rPr>
        <sz val="11"/>
        <color rgb="FFFF0000"/>
        <rFont val="Times New Roman"/>
        <family val="1"/>
      </rPr>
      <t xml:space="preserve"> ญร4569</t>
    </r>
    <r>
      <rPr>
        <sz val="11"/>
        <color theme="1"/>
        <rFont val="Times New Roman"/>
        <family val="1"/>
      </rPr>
      <t>,</t>
    </r>
    <r>
      <rPr>
        <sz val="11"/>
        <color rgb="FFFF0000"/>
        <rFont val="Times New Roman"/>
        <family val="1"/>
      </rPr>
      <t xml:space="preserve"> ภฮ9789)</t>
    </r>
  </si>
  <si>
    <r>
      <t xml:space="preserve">Diesel B7 รถบรรทุก 6 ล้อ </t>
    </r>
    <r>
      <rPr>
        <sz val="11"/>
        <color rgb="FFFF0000"/>
        <rFont val="Times New Roman"/>
        <family val="1"/>
      </rPr>
      <t>(บท9680, 83-9095</t>
    </r>
    <r>
      <rPr>
        <sz val="11"/>
        <color theme="1"/>
        <rFont val="Times New Roman"/>
        <family val="1"/>
      </rPr>
      <t>)</t>
    </r>
  </si>
  <si>
    <r>
      <t xml:space="preserve">Diesel B7 รถกระบะส่วนบุคคลขนาด 1 ตัน ของบริษัท </t>
    </r>
    <r>
      <rPr>
        <sz val="11"/>
        <color rgb="FFFF0000"/>
        <rFont val="Times New Roman"/>
        <family val="1"/>
      </rPr>
      <t>(1กร 3494</t>
    </r>
    <r>
      <rPr>
        <sz val="11"/>
        <color theme="1"/>
        <rFont val="Times New Roman"/>
        <family val="1"/>
      </rPr>
      <t>)</t>
    </r>
  </si>
  <si>
    <r>
      <t xml:space="preserve">Gasohol 95 รถตู้ของบริษัท </t>
    </r>
    <r>
      <rPr>
        <sz val="11"/>
        <color rgb="FFFF0000"/>
        <rFont val="Times New Roman"/>
        <family val="1"/>
      </rPr>
      <t>(2ขล 9545,</t>
    </r>
    <r>
      <rPr>
        <sz val="11"/>
        <color theme="1"/>
        <rFont val="Times New Roman"/>
        <family val="1"/>
      </rPr>
      <t xml:space="preserve"> ฎค9779, </t>
    </r>
    <r>
      <rPr>
        <sz val="11"/>
        <color rgb="FFFF0000"/>
        <rFont val="Times New Roman"/>
        <family val="1"/>
      </rPr>
      <t>ฎพ9779</t>
    </r>
    <r>
      <rPr>
        <sz val="11"/>
        <color theme="1"/>
        <rFont val="Times New Roman"/>
        <family val="1"/>
      </rPr>
      <t xml:space="preserve">, </t>
    </r>
    <r>
      <rPr>
        <sz val="11"/>
        <color rgb="FFFF0000"/>
        <rFont val="Times New Roman"/>
        <family val="1"/>
      </rPr>
      <t>ฮฐ6328</t>
    </r>
    <r>
      <rPr>
        <sz val="11"/>
        <color theme="1"/>
        <rFont val="Times New Roman"/>
        <family val="1"/>
      </rPr>
      <t>)</t>
    </r>
  </si>
  <si>
    <r>
      <t>Gasohol 95 รถยนต์ขนาดใหญ่ ขนาด 2000cc ของบริษัท</t>
    </r>
    <r>
      <rPr>
        <sz val="11"/>
        <color rgb="FFFF0000"/>
        <rFont val="Times New Roman"/>
        <family val="1"/>
      </rPr>
      <t xml:space="preserve"> (1ขญ 1643, </t>
    </r>
    <r>
      <rPr>
        <sz val="11"/>
        <color theme="1"/>
        <rFont val="Times New Roman"/>
        <family val="1"/>
      </rPr>
      <t xml:space="preserve">2ขญ 1643, </t>
    </r>
    <r>
      <rPr>
        <sz val="11"/>
        <color rgb="FFFF0000"/>
        <rFont val="Times New Roman"/>
        <family val="1"/>
      </rPr>
      <t>34DUMMY,</t>
    </r>
    <r>
      <rPr>
        <sz val="11"/>
        <color theme="1"/>
        <rFont val="Times New Roman"/>
        <family val="1"/>
      </rPr>
      <t xml:space="preserve"> 4กฎ 2234, 4ขต 9545)</t>
    </r>
  </si>
  <si>
    <t>Diesel B7,B10,B20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</si>
</sst>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.0000_);_(* \(#,##0.0000\);_(* &quot;-&quot;??_);_(@_)"/>
    <numFmt numFmtId="166" formatCode="&quot;True&quot;;&quot;True&quot;;&quot;False&quot;"/>
    <numFmt numFmtId="167" formatCode="_(* #,##0_);_(* \(#,##0\);_(* &quot;-&quot;??_);_(@_)"/>
    <numFmt numFmtId="168" formatCode="\t&quot;฿&quot;#,##0_);[Red]\(\t&quot;฿&quot;#,##0\)"/>
    <numFmt numFmtId="169" formatCode="\t&quot;$&quot;#,##0.00_);[Red]\(\t&quot;$&quot;#,##0.00\)"/>
    <numFmt numFmtId="170" formatCode="_-* #,##0.0000_-;\-* #,##0.0000_-;_-* &quot;-&quot;??_-;_-@_-"/>
    <numFmt numFmtId="171" formatCode="0.000000"/>
    <numFmt numFmtId="172" formatCode="_-* #,##0.00\ &quot;F&quot;_-;\-* #,##0.00\ &quot;F&quot;_-;_-* &quot;-&quot;??\ &quot;F&quot;_-;_-@_-"/>
    <numFmt numFmtId="173" formatCode="0.00_)"/>
    <numFmt numFmtId="174" formatCode="#,##0\ &quot;F&quot;;[Red]\-#,##0\ &quot;F&quot;"/>
    <numFmt numFmtId="175" formatCode="#,##0\ &quot;FB&quot;;\-#,##0\ &quot;FB&quot;"/>
    <numFmt numFmtId="176" formatCode="0.0000000000000000"/>
    <numFmt numFmtId="177" formatCode="0.0000"/>
    <numFmt numFmtId="180" formatCode="#,##0.00_ ;\-#,##0.00\ "/>
    <numFmt numFmtId="188" formatCode="#,##0.0000"/>
    <numFmt numFmtId="190" formatCode="#,##0.0000_);\(#,##0.0000\)"/>
  </numFmts>
  <fonts count="8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vertAlign val="subscript"/>
      <sz val="11"/>
      <color theme="0"/>
      <name val="Calibri"/>
      <family val="2"/>
      <scheme val="minor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1"/>
      <color indexed="8"/>
      <name val="Calibri"/>
      <family val="2"/>
      <charset val="222"/>
    </font>
    <font>
      <sz val="11"/>
      <color theme="1"/>
      <name val="Calibri"/>
      <family val="2"/>
      <charset val="222"/>
      <scheme val="minor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charset val="222"/>
      <scheme val="minor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indexed="8"/>
      <name val="Tahoma"/>
      <family val="2"/>
      <charset val="222"/>
    </font>
    <font>
      <sz val="14"/>
      <name val="CordiaUPC"/>
      <family val="2"/>
    </font>
    <font>
      <b/>
      <sz val="12"/>
      <color indexed="63"/>
      <name val="Arial"/>
      <family val="2"/>
    </font>
    <font>
      <sz val="8"/>
      <name val="Arial"/>
      <family val="2"/>
    </font>
    <font>
      <sz val="10"/>
      <name val="MS Sans Serif"/>
      <family val="2"/>
      <charset val="222"/>
    </font>
    <font>
      <b/>
      <sz val="18"/>
      <color indexed="56"/>
      <name val="Cambria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charset val="222"/>
    </font>
    <font>
      <sz val="11"/>
      <color indexed="62"/>
      <name val="Tahoma"/>
      <family val="2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11"/>
      <color theme="0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b/>
      <vertAlign val="subscript"/>
      <sz val="10"/>
      <color theme="0"/>
      <name val="Arial"/>
      <family val="2"/>
    </font>
    <font>
      <b/>
      <sz val="11"/>
      <name val="Calibri"/>
      <family val="2"/>
      <scheme val="minor"/>
    </font>
    <font>
      <sz val="10"/>
      <name val="Letter Gothic"/>
      <family val="3"/>
    </font>
    <font>
      <sz val="14"/>
      <name val="AngsanaUPC"/>
      <family val="1"/>
    </font>
    <font>
      <b/>
      <sz val="11"/>
      <color indexed="16"/>
      <name val="Arial Narrow"/>
      <family val="2"/>
    </font>
    <font>
      <b/>
      <sz val="10"/>
      <color indexed="18"/>
      <name val="Arial"/>
      <family val="2"/>
      <charset val="222"/>
    </font>
    <font>
      <sz val="7"/>
      <name val="Small Fonts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70C0"/>
      <name val="Times New Roman"/>
      <family val="1"/>
    </font>
    <font>
      <sz val="10"/>
      <color rgb="FF0070C0"/>
      <name val="Times New Roman"/>
      <family val="1"/>
    </font>
    <font>
      <b/>
      <sz val="9"/>
      <color theme="0"/>
      <name val="Times New Roman"/>
      <family val="1"/>
    </font>
    <font>
      <sz val="9"/>
      <color theme="0"/>
      <name val="Times New Roman"/>
      <family val="1"/>
    </font>
    <font>
      <b/>
      <sz val="10"/>
      <color theme="0"/>
      <name val="Times New Roman"/>
      <family val="1"/>
    </font>
    <font>
      <b/>
      <vertAlign val="subscript"/>
      <sz val="10"/>
      <color theme="0"/>
      <name val="Times New Roman"/>
      <family val="1"/>
    </font>
    <font>
      <sz val="10"/>
      <name val="Times New Roman"/>
      <family val="1"/>
    </font>
    <font>
      <b/>
      <vertAlign val="subscript"/>
      <sz val="9"/>
      <color theme="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u/>
      <sz val="9"/>
      <color theme="1"/>
      <name val="Times New Roman"/>
      <family val="1"/>
    </font>
    <font>
      <b/>
      <u/>
      <sz val="9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rgb="FF0070C0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b/>
      <i/>
      <sz val="10"/>
      <color theme="3" tint="0.3999755851924192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u/>
      <sz val="9"/>
      <color indexed="12"/>
      <name val="Helv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11"/>
      <color rgb="FFFF0000"/>
      <name val="Times New Roman"/>
      <family val="1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EAF1DD"/>
        <bgColor rgb="FFEAF1DD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DBE5F1"/>
        <bgColor rgb="FFDBE5F1"/>
      </patternFill>
    </fill>
    <fill>
      <patternFill patternType="solid">
        <fgColor rgb="FFE2EFD9"/>
        <bgColor rgb="FFE2EFD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4">
    <xf numFmtId="0" fontId="0" fillId="0" borderId="0"/>
    <xf numFmtId="43" fontId="2" fillId="0" borderId="0" applyFont="0" applyFill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8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2" borderId="0" applyNumberFormat="0" applyBorder="0" applyAlignment="0" applyProtection="0"/>
    <xf numFmtId="0" fontId="8" fillId="16" borderId="0" applyNumberFormat="0" applyBorder="0" applyAlignment="0" applyProtection="0"/>
    <xf numFmtId="0" fontId="9" fillId="33" borderId="18" applyNumberFormat="0" applyAlignment="0" applyProtection="0"/>
    <xf numFmtId="0" fontId="10" fillId="34" borderId="19" applyNumberFormat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2" fillId="35" borderId="0" applyNumberFormat="0" applyFont="0" applyBorder="0" applyAlignment="0"/>
    <xf numFmtId="0" fontId="1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17" borderId="0" applyNumberFormat="0" applyBorder="0" applyAlignment="0" applyProtection="0"/>
    <xf numFmtId="0" fontId="17" fillId="0" borderId="20" applyNumberFormat="0" applyFill="0" applyAlignment="0" applyProtection="0"/>
    <xf numFmtId="0" fontId="18" fillId="0" borderId="21" applyNumberFormat="0" applyFill="0" applyAlignment="0" applyProtection="0"/>
    <xf numFmtId="0" fontId="19" fillId="0" borderId="22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0" fontId="22" fillId="20" borderId="18" applyNumberFormat="0" applyAlignment="0" applyProtection="0"/>
    <xf numFmtId="0" fontId="23" fillId="20" borderId="18" applyNumberFormat="0" applyAlignment="0" applyProtection="0"/>
    <xf numFmtId="0" fontId="24" fillId="0" borderId="23" applyNumberFormat="0" applyFill="0" applyAlignment="0" applyProtection="0"/>
    <xf numFmtId="0" fontId="12" fillId="36" borderId="0" applyNumberFormat="0" applyFont="0" applyBorder="0" applyAlignment="0"/>
    <xf numFmtId="0" fontId="25" fillId="37" borderId="0" applyNumberFormat="0" applyBorder="0" applyAlignment="0" applyProtection="0"/>
    <xf numFmtId="0" fontId="26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11" fillId="0" borderId="0"/>
    <xf numFmtId="0" fontId="12" fillId="0" borderId="0"/>
    <xf numFmtId="0" fontId="12" fillId="0" borderId="0"/>
    <xf numFmtId="0" fontId="14" fillId="0" borderId="0"/>
    <xf numFmtId="0" fontId="29" fillId="0" borderId="0"/>
    <xf numFmtId="0" fontId="14" fillId="0" borderId="0"/>
    <xf numFmtId="0" fontId="13" fillId="0" borderId="0"/>
    <xf numFmtId="0" fontId="14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6" fillId="38" borderId="24" applyNumberFormat="0" applyFont="0" applyAlignment="0" applyProtection="0"/>
    <xf numFmtId="0" fontId="30" fillId="33" borderId="25" applyNumberFormat="0" applyAlignment="0" applyProtection="0"/>
    <xf numFmtId="9" fontId="12" fillId="0" borderId="0" applyFont="0" applyFill="0" applyBorder="0" applyAlignment="0" applyProtection="0"/>
    <xf numFmtId="4" fontId="31" fillId="37" borderId="26" applyNumberFormat="0" applyProtection="0">
      <alignment vertical="center"/>
    </xf>
    <xf numFmtId="4" fontId="31" fillId="35" borderId="26" applyNumberFormat="0" applyProtection="0">
      <alignment horizontal="left" vertical="center" indent="1"/>
    </xf>
    <xf numFmtId="4" fontId="31" fillId="27" borderId="26" applyNumberFormat="0" applyProtection="0">
      <alignment horizontal="left" vertical="center" indent="1"/>
    </xf>
    <xf numFmtId="4" fontId="31" fillId="39" borderId="26" applyNumberFormat="0" applyProtection="0">
      <alignment horizontal="right" vertical="center"/>
    </xf>
    <xf numFmtId="4" fontId="31" fillId="0" borderId="26" applyNumberFormat="0" applyProtection="0">
      <alignment horizontal="right" vertical="center"/>
    </xf>
    <xf numFmtId="4" fontId="31" fillId="27" borderId="26" applyNumberFormat="0" applyProtection="0">
      <alignment horizontal="left" vertical="center" indent="1"/>
    </xf>
    <xf numFmtId="0" fontId="32" fillId="0" borderId="0"/>
    <xf numFmtId="0" fontId="33" fillId="0" borderId="0" applyNumberFormat="0" applyFill="0" applyBorder="0" applyAlignment="0" applyProtection="0"/>
    <xf numFmtId="0" fontId="34" fillId="0" borderId="27" applyNumberFormat="0" applyFill="0" applyAlignment="0" applyProtection="0"/>
    <xf numFmtId="0" fontId="35" fillId="0" borderId="0" applyNumberFormat="0" applyFill="0" applyBorder="0" applyAlignment="0" applyProtection="0"/>
    <xf numFmtId="0" fontId="36" fillId="35" borderId="0">
      <alignment horizontal="left" vertical="center" indent="1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37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8" fillId="20" borderId="18" applyNumberFormat="0" applyAlignment="0" applyProtection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40" fillId="0" borderId="0"/>
    <xf numFmtId="168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2" fontId="46" fillId="0" borderId="0"/>
    <xf numFmtId="173" fontId="47" fillId="0" borderId="0"/>
    <xf numFmtId="174" fontId="47" fillId="0" borderId="0"/>
    <xf numFmtId="38" fontId="31" fillId="43" borderId="0" applyNumberFormat="0" applyBorder="0" applyAlignment="0" applyProtection="0"/>
    <xf numFmtId="0" fontId="48" fillId="0" borderId="0"/>
    <xf numFmtId="0" fontId="49" fillId="0" borderId="0"/>
    <xf numFmtId="10" fontId="31" fillId="44" borderId="2" applyNumberFormat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37" fontId="50" fillId="0" borderId="0"/>
    <xf numFmtId="175" fontId="47" fillId="0" borderId="0"/>
    <xf numFmtId="0" fontId="12" fillId="0" borderId="0"/>
    <xf numFmtId="10" fontId="12" fillId="0" borderId="0" applyFont="0" applyFill="0" applyBorder="0" applyAlignment="0" applyProtection="0"/>
    <xf numFmtId="1" fontId="12" fillId="0" borderId="7" applyNumberFormat="0" applyFill="0" applyAlignment="0" applyProtection="0">
      <alignment horizontal="center" vertical="center"/>
    </xf>
    <xf numFmtId="176" fontId="47" fillId="0" borderId="4"/>
    <xf numFmtId="8" fontId="32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0" fontId="12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81" fillId="0" borderId="0"/>
    <xf numFmtId="0" fontId="2" fillId="0" borderId="0"/>
    <xf numFmtId="164" fontId="2" fillId="0" borderId="0" applyFont="0" applyFill="0" applyBorder="0" applyAlignment="0" applyProtection="0"/>
    <xf numFmtId="0" fontId="83" fillId="0" borderId="0"/>
    <xf numFmtId="164" fontId="12" fillId="0" borderId="0" applyFont="0" applyFill="0" applyBorder="0" applyAlignment="0" applyProtection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" fillId="0" borderId="0"/>
    <xf numFmtId="164" fontId="12" fillId="0" borderId="0" applyFont="0" applyFill="0" applyBorder="0" applyAlignment="0" applyProtection="0"/>
    <xf numFmtId="0" fontId="83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3" fillId="0" borderId="0"/>
  </cellStyleXfs>
  <cellXfs count="465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43" fillId="42" borderId="0" xfId="0" applyFont="1" applyFill="1"/>
    <xf numFmtId="0" fontId="43" fillId="42" borderId="2" xfId="0" applyFont="1" applyFill="1" applyBorder="1"/>
    <xf numFmtId="0" fontId="43" fillId="42" borderId="2" xfId="0" applyFont="1" applyFill="1" applyBorder="1" applyAlignment="1">
      <alignment horizontal="center" vertical="top"/>
    </xf>
    <xf numFmtId="0" fontId="43" fillId="42" borderId="2" xfId="0" applyFont="1" applyFill="1" applyBorder="1" applyAlignment="1">
      <alignment vertical="top"/>
    </xf>
    <xf numFmtId="0" fontId="43" fillId="42" borderId="2" xfId="0" applyFont="1" applyFill="1" applyBorder="1" applyAlignment="1">
      <alignment horizontal="center" vertical="center"/>
    </xf>
    <xf numFmtId="0" fontId="43" fillId="42" borderId="2" xfId="0" applyFont="1" applyFill="1" applyBorder="1" applyAlignment="1">
      <alignment horizontal="center"/>
    </xf>
    <xf numFmtId="0" fontId="45" fillId="42" borderId="2" xfId="0" applyFont="1" applyFill="1" applyBorder="1" applyAlignment="1">
      <alignment vertical="top"/>
    </xf>
    <xf numFmtId="49" fontId="43" fillId="42" borderId="2" xfId="0" applyNumberFormat="1" applyFont="1" applyFill="1" applyBorder="1" applyAlignment="1">
      <alignment vertical="top"/>
    </xf>
    <xf numFmtId="0" fontId="3" fillId="3" borderId="0" xfId="0" applyFont="1" applyFill="1"/>
    <xf numFmtId="0" fontId="43" fillId="3" borderId="0" xfId="0" applyFont="1" applyFill="1"/>
    <xf numFmtId="170" fontId="43" fillId="42" borderId="0" xfId="1" applyNumberFormat="1" applyFont="1" applyFill="1"/>
    <xf numFmtId="170" fontId="43" fillId="42" borderId="0" xfId="1" applyNumberFormat="1" applyFont="1" applyFill="1" applyAlignment="1">
      <alignment horizontal="center"/>
    </xf>
    <xf numFmtId="170" fontId="43" fillId="42" borderId="2" xfId="1" applyNumberFormat="1" applyFont="1" applyFill="1" applyBorder="1" applyAlignment="1">
      <alignment horizontal="center"/>
    </xf>
    <xf numFmtId="0" fontId="43" fillId="42" borderId="2" xfId="1" applyNumberFormat="1" applyFont="1" applyFill="1" applyBorder="1" applyAlignment="1">
      <alignment horizontal="center" vertical="top"/>
    </xf>
    <xf numFmtId="0" fontId="43" fillId="42" borderId="2" xfId="1" applyNumberFormat="1" applyFont="1" applyFill="1" applyBorder="1" applyAlignment="1">
      <alignment horizontal="center"/>
    </xf>
    <xf numFmtId="0" fontId="43" fillId="42" borderId="0" xfId="1" applyNumberFormat="1" applyFont="1" applyFill="1" applyAlignment="1">
      <alignment horizontal="center"/>
    </xf>
    <xf numFmtId="170" fontId="43" fillId="42" borderId="2" xfId="1" applyNumberFormat="1" applyFont="1" applyFill="1" applyBorder="1"/>
    <xf numFmtId="171" fontId="43" fillId="42" borderId="2" xfId="1" applyNumberFormat="1" applyFont="1" applyFill="1" applyBorder="1" applyAlignment="1">
      <alignment horizontal="center" vertical="top"/>
    </xf>
    <xf numFmtId="0" fontId="4" fillId="41" borderId="2" xfId="0" applyFont="1" applyFill="1" applyBorder="1" applyAlignment="1">
      <alignment horizontal="center" vertical="center"/>
    </xf>
    <xf numFmtId="0" fontId="41" fillId="42" borderId="2" xfId="0" applyFont="1" applyFill="1" applyBorder="1" applyAlignment="1">
      <alignment horizontal="left" vertical="center"/>
    </xf>
    <xf numFmtId="0" fontId="41" fillId="42" borderId="2" xfId="0" applyFont="1" applyFill="1" applyBorder="1" applyAlignment="1">
      <alignment horizontal="center" vertical="center"/>
    </xf>
    <xf numFmtId="11" fontId="41" fillId="42" borderId="2" xfId="0" applyNumberFormat="1" applyFont="1" applyFill="1" applyBorder="1" applyAlignment="1">
      <alignment horizontal="center" vertical="center"/>
    </xf>
    <xf numFmtId="177" fontId="41" fillId="42" borderId="2" xfId="0" applyNumberFormat="1" applyFont="1" applyFill="1" applyBorder="1" applyAlignment="1">
      <alignment horizontal="center" vertical="center"/>
    </xf>
    <xf numFmtId="0" fontId="43" fillId="42" borderId="0" xfId="0" applyFont="1" applyFill="1" applyAlignment="1">
      <alignment horizontal="left" vertical="top"/>
    </xf>
    <xf numFmtId="170" fontId="43" fillId="42" borderId="0" xfId="1" applyNumberFormat="1" applyFont="1" applyFill="1" applyAlignment="1">
      <alignment horizontal="left" vertical="top"/>
    </xf>
    <xf numFmtId="0" fontId="43" fillId="3" borderId="0" xfId="0" applyFont="1" applyFill="1" applyAlignment="1">
      <alignment horizontal="left" vertical="top"/>
    </xf>
    <xf numFmtId="170" fontId="43" fillId="3" borderId="0" xfId="1" applyNumberFormat="1" applyFont="1" applyFill="1" applyAlignment="1">
      <alignment horizontal="left" vertical="top"/>
    </xf>
    <xf numFmtId="170" fontId="43" fillId="3" borderId="0" xfId="1" applyNumberFormat="1" applyFont="1" applyFill="1" applyAlignment="1">
      <alignment horizontal="left" vertical="top" wrapText="1"/>
    </xf>
    <xf numFmtId="170" fontId="43" fillId="3" borderId="0" xfId="1" applyNumberFormat="1" applyFont="1" applyFill="1"/>
    <xf numFmtId="43" fontId="43" fillId="42" borderId="0" xfId="1" applyFont="1" applyFill="1"/>
    <xf numFmtId="177" fontId="43" fillId="42" borderId="0" xfId="0" applyNumberFormat="1" applyFont="1" applyFill="1"/>
    <xf numFmtId="2" fontId="43" fillId="42" borderId="2" xfId="1" applyNumberFormat="1" applyFont="1" applyFill="1" applyBorder="1" applyAlignment="1">
      <alignment horizontal="center"/>
    </xf>
    <xf numFmtId="0" fontId="52" fillId="0" borderId="0" xfId="0" applyFont="1"/>
    <xf numFmtId="4" fontId="65" fillId="0" borderId="41" xfId="0" applyNumberFormat="1" applyFont="1" applyBorder="1" applyAlignment="1">
      <alignment horizontal="center" vertical="center"/>
    </xf>
    <xf numFmtId="165" fontId="65" fillId="0" borderId="32" xfId="0" applyNumberFormat="1" applyFont="1" applyBorder="1" applyAlignment="1">
      <alignment vertical="center"/>
    </xf>
    <xf numFmtId="165" fontId="65" fillId="0" borderId="42" xfId="0" applyNumberFormat="1" applyFont="1" applyBorder="1" applyAlignment="1">
      <alignment vertical="center"/>
    </xf>
    <xf numFmtId="10" fontId="65" fillId="47" borderId="28" xfId="0" applyNumberFormat="1" applyFont="1" applyFill="1" applyBorder="1" applyAlignment="1">
      <alignment vertical="center"/>
    </xf>
    <xf numFmtId="43" fontId="66" fillId="0" borderId="36" xfId="0" applyNumberFormat="1" applyFont="1" applyBorder="1" applyAlignment="1">
      <alignment vertical="center"/>
    </xf>
    <xf numFmtId="165" fontId="65" fillId="0" borderId="32" xfId="0" applyNumberFormat="1" applyFont="1" applyBorder="1" applyAlignment="1">
      <alignment vertical="center" wrapText="1"/>
    </xf>
    <xf numFmtId="0" fontId="65" fillId="0" borderId="36" xfId="0" applyFont="1" applyBorder="1" applyAlignment="1">
      <alignment vertical="center"/>
    </xf>
    <xf numFmtId="0" fontId="65" fillId="0" borderId="0" xfId="0" applyFont="1" applyAlignment="1">
      <alignment vertical="center"/>
    </xf>
    <xf numFmtId="165" fontId="65" fillId="0" borderId="41" xfId="0" applyNumberFormat="1" applyFont="1" applyBorder="1" applyAlignment="1">
      <alignment vertical="center"/>
    </xf>
    <xf numFmtId="43" fontId="58" fillId="48" borderId="40" xfId="0" applyNumberFormat="1" applyFont="1" applyFill="1" applyBorder="1" applyAlignment="1">
      <alignment vertical="center"/>
    </xf>
    <xf numFmtId="10" fontId="58" fillId="48" borderId="39" xfId="0" applyNumberFormat="1" applyFont="1" applyFill="1" applyBorder="1" applyAlignment="1">
      <alignment vertical="center"/>
    </xf>
    <xf numFmtId="0" fontId="59" fillId="48" borderId="39" xfId="0" applyFont="1" applyFill="1" applyBorder="1" applyAlignment="1">
      <alignment vertical="center"/>
    </xf>
    <xf numFmtId="4" fontId="65" fillId="0" borderId="32" xfId="0" applyNumberFormat="1" applyFont="1" applyBorder="1" applyAlignment="1">
      <alignment horizontal="center" vertical="center"/>
    </xf>
    <xf numFmtId="43" fontId="65" fillId="0" borderId="0" xfId="0" applyNumberFormat="1" applyFont="1" applyAlignment="1">
      <alignment vertical="center"/>
    </xf>
    <xf numFmtId="165" fontId="65" fillId="0" borderId="1" xfId="0" applyNumberFormat="1" applyFont="1" applyBorder="1" applyAlignment="1">
      <alignment horizontal="center" vertical="center"/>
    </xf>
    <xf numFmtId="4" fontId="65" fillId="0" borderId="2" xfId="0" applyNumberFormat="1" applyFont="1" applyBorder="1" applyAlignment="1">
      <alignment horizontal="right" vertical="center"/>
    </xf>
    <xf numFmtId="0" fontId="65" fillId="0" borderId="2" xfId="0" applyFont="1" applyBorder="1" applyAlignment="1">
      <alignment vertical="center"/>
    </xf>
    <xf numFmtId="0" fontId="65" fillId="0" borderId="1" xfId="0" applyFont="1" applyBorder="1" applyAlignment="1">
      <alignment horizontal="left" vertical="center"/>
    </xf>
    <xf numFmtId="4" fontId="65" fillId="0" borderId="1" xfId="0" applyNumberFormat="1" applyFont="1" applyBorder="1" applyAlignment="1">
      <alignment horizontal="center" vertical="center"/>
    </xf>
    <xf numFmtId="4" fontId="65" fillId="0" borderId="1" xfId="0" applyNumberFormat="1" applyFont="1" applyBorder="1" applyAlignment="1">
      <alignment horizontal="right" vertical="center"/>
    </xf>
    <xf numFmtId="0" fontId="65" fillId="0" borderId="8" xfId="0" applyFont="1" applyBorder="1" applyAlignment="1">
      <alignment horizontal="left" vertical="center"/>
    </xf>
    <xf numFmtId="165" fontId="65" fillId="0" borderId="45" xfId="0" applyNumberFormat="1" applyFont="1" applyBorder="1" applyAlignment="1">
      <alignment vertical="center"/>
    </xf>
    <xf numFmtId="0" fontId="65" fillId="0" borderId="0" xfId="0" applyFont="1" applyAlignment="1">
      <alignment horizontal="left" vertical="center"/>
    </xf>
    <xf numFmtId="165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165" fontId="65" fillId="0" borderId="3" xfId="0" applyNumberFormat="1" applyFont="1" applyBorder="1" applyAlignment="1">
      <alignment horizontal="center" vertical="center"/>
    </xf>
    <xf numFmtId="165" fontId="65" fillId="0" borderId="2" xfId="0" applyNumberFormat="1" applyFont="1" applyBorder="1" applyAlignment="1">
      <alignment horizontal="center" vertical="center"/>
    </xf>
    <xf numFmtId="0" fontId="64" fillId="0" borderId="41" xfId="0" applyFont="1" applyBorder="1" applyAlignment="1">
      <alignment horizontal="center" vertical="center" textRotation="90"/>
    </xf>
    <xf numFmtId="43" fontId="68" fillId="49" borderId="2" xfId="0" applyNumberFormat="1" applyFont="1" applyFill="1" applyBorder="1" applyAlignment="1">
      <alignment horizontal="right" vertical="center"/>
    </xf>
    <xf numFmtId="10" fontId="68" fillId="49" borderId="2" xfId="0" applyNumberFormat="1" applyFont="1" applyFill="1" applyBorder="1" applyAlignment="1">
      <alignment horizontal="right" vertical="center"/>
    </xf>
    <xf numFmtId="0" fontId="64" fillId="0" borderId="2" xfId="0" applyFont="1" applyBorder="1" applyAlignment="1">
      <alignment horizontal="left" vertical="center"/>
    </xf>
    <xf numFmtId="0" fontId="58" fillId="50" borderId="36" xfId="0" applyFont="1" applyFill="1" applyBorder="1" applyAlignment="1">
      <alignment horizontal="center" vertical="center"/>
    </xf>
    <xf numFmtId="0" fontId="64" fillId="51" borderId="38" xfId="0" applyFont="1" applyFill="1" applyBorder="1" applyAlignment="1">
      <alignment horizontal="center" vertical="center"/>
    </xf>
    <xf numFmtId="0" fontId="58" fillId="50" borderId="34" xfId="0" applyFont="1" applyFill="1" applyBorder="1" applyAlignment="1">
      <alignment horizontal="left" vertical="center"/>
    </xf>
    <xf numFmtId="10" fontId="58" fillId="50" borderId="34" xfId="0" applyNumberFormat="1" applyFont="1" applyFill="1" applyBorder="1" applyAlignment="1">
      <alignment horizontal="left" vertical="center"/>
    </xf>
    <xf numFmtId="0" fontId="65" fillId="51" borderId="35" xfId="0" applyFont="1" applyFill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36" xfId="0" applyFont="1" applyBorder="1" applyAlignment="1">
      <alignment horizontal="center" vertical="center"/>
    </xf>
    <xf numFmtId="4" fontId="55" fillId="0" borderId="36" xfId="0" applyNumberFormat="1" applyFont="1" applyBorder="1" applyAlignment="1">
      <alignment vertical="center"/>
    </xf>
    <xf numFmtId="4" fontId="55" fillId="0" borderId="36" xfId="0" applyNumberFormat="1" applyFont="1" applyBorder="1" applyAlignment="1">
      <alignment horizontal="center" vertical="center"/>
    </xf>
    <xf numFmtId="4" fontId="55" fillId="0" borderId="0" xfId="0" applyNumberFormat="1" applyFont="1" applyAlignment="1">
      <alignment vertical="center"/>
    </xf>
    <xf numFmtId="0" fontId="55" fillId="0" borderId="2" xfId="0" applyFont="1" applyBorder="1" applyAlignment="1">
      <alignment vertical="center"/>
    </xf>
    <xf numFmtId="0" fontId="55" fillId="0" borderId="36" xfId="0" applyFont="1" applyBorder="1" applyAlignment="1">
      <alignment vertical="center"/>
    </xf>
    <xf numFmtId="0" fontId="73" fillId="0" borderId="38" xfId="0" applyFont="1" applyBorder="1" applyAlignment="1">
      <alignment vertical="center"/>
    </xf>
    <xf numFmtId="0" fontId="73" fillId="0" borderId="39" xfId="0" applyFont="1" applyBorder="1" applyAlignment="1">
      <alignment vertical="center"/>
    </xf>
    <xf numFmtId="4" fontId="55" fillId="0" borderId="36" xfId="0" applyNumberFormat="1" applyFont="1" applyBorder="1" applyAlignment="1">
      <alignment horizontal="left" vertical="center"/>
    </xf>
    <xf numFmtId="4" fontId="55" fillId="0" borderId="38" xfId="0" applyNumberFormat="1" applyFont="1" applyBorder="1" applyAlignment="1">
      <alignment vertical="center"/>
    </xf>
    <xf numFmtId="4" fontId="55" fillId="0" borderId="39" xfId="0" applyNumberFormat="1" applyFont="1" applyBorder="1" applyAlignment="1">
      <alignment vertical="center"/>
    </xf>
    <xf numFmtId="0" fontId="73" fillId="0" borderId="37" xfId="0" applyFont="1" applyBorder="1" applyAlignment="1">
      <alignment vertical="center"/>
    </xf>
    <xf numFmtId="4" fontId="73" fillId="0" borderId="38" xfId="0" applyNumberFormat="1" applyFont="1" applyBorder="1" applyAlignment="1">
      <alignment vertical="center"/>
    </xf>
    <xf numFmtId="4" fontId="73" fillId="0" borderId="39" xfId="0" applyNumberFormat="1" applyFont="1" applyBorder="1" applyAlignment="1">
      <alignment vertical="center"/>
    </xf>
    <xf numFmtId="0" fontId="55" fillId="0" borderId="29" xfId="0" applyFont="1" applyBorder="1" applyAlignment="1">
      <alignment vertical="center"/>
    </xf>
    <xf numFmtId="4" fontId="55" fillId="0" borderId="2" xfId="0" applyNumberFormat="1" applyFont="1" applyBorder="1" applyAlignment="1">
      <alignment horizontal="center" vertical="center"/>
    </xf>
    <xf numFmtId="4" fontId="55" fillId="0" borderId="2" xfId="0" applyNumberFormat="1" applyFont="1" applyBorder="1" applyAlignment="1">
      <alignment vertical="center"/>
    </xf>
    <xf numFmtId="0" fontId="55" fillId="0" borderId="3" xfId="0" applyFont="1" applyBorder="1" applyAlignment="1">
      <alignment vertical="center"/>
    </xf>
    <xf numFmtId="4" fontId="55" fillId="0" borderId="40" xfId="0" applyNumberFormat="1" applyFont="1" applyBorder="1" applyAlignment="1">
      <alignment vertical="center"/>
    </xf>
    <xf numFmtId="0" fontId="55" fillId="45" borderId="0" xfId="0" applyFont="1" applyFill="1" applyAlignment="1">
      <alignment vertical="center"/>
    </xf>
    <xf numFmtId="4" fontId="55" fillId="0" borderId="8" xfId="0" applyNumberFormat="1" applyFont="1" applyBorder="1" applyAlignment="1">
      <alignment vertical="center"/>
    </xf>
    <xf numFmtId="0" fontId="55" fillId="0" borderId="2" xfId="0" applyFont="1" applyBorder="1" applyAlignment="1">
      <alignment horizontal="center" vertical="center"/>
    </xf>
    <xf numFmtId="0" fontId="55" fillId="0" borderId="39" xfId="0" applyFont="1" applyBorder="1" applyAlignment="1">
      <alignment horizontal="center" vertical="center"/>
    </xf>
    <xf numFmtId="0" fontId="55" fillId="0" borderId="37" xfId="0" applyFont="1" applyBorder="1" applyAlignment="1">
      <alignment horizontal="center" vertical="center"/>
    </xf>
    <xf numFmtId="0" fontId="55" fillId="0" borderId="38" xfId="0" applyFont="1" applyBorder="1" applyAlignment="1">
      <alignment horizontal="center" vertical="center"/>
    </xf>
    <xf numFmtId="0" fontId="53" fillId="0" borderId="36" xfId="0" applyFont="1" applyBorder="1" applyAlignment="1">
      <alignment vertical="center"/>
    </xf>
    <xf numFmtId="0" fontId="62" fillId="0" borderId="0" xfId="174" applyFont="1"/>
    <xf numFmtId="0" fontId="74" fillId="0" borderId="2" xfId="174" applyFont="1" applyBorder="1" applyAlignment="1">
      <alignment horizontal="left" vertical="center"/>
    </xf>
    <xf numFmtId="0" fontId="56" fillId="0" borderId="5" xfId="174" applyFont="1" applyBorder="1" applyAlignment="1">
      <alignment horizontal="left" vertical="center"/>
    </xf>
    <xf numFmtId="0" fontId="74" fillId="0" borderId="2" xfId="174" applyFont="1" applyBorder="1" applyAlignment="1">
      <alignment horizontal="center" vertical="center"/>
    </xf>
    <xf numFmtId="0" fontId="56" fillId="42" borderId="3" xfId="174" applyFont="1" applyFill="1" applyBorder="1" applyAlignment="1">
      <alignment vertical="center"/>
    </xf>
    <xf numFmtId="0" fontId="56" fillId="42" borderId="4" xfId="174" applyFont="1" applyFill="1" applyBorder="1" applyAlignment="1">
      <alignment vertical="center"/>
    </xf>
    <xf numFmtId="0" fontId="56" fillId="42" borderId="5" xfId="174" applyFont="1" applyFill="1" applyBorder="1" applyAlignment="1">
      <alignment vertical="center"/>
    </xf>
    <xf numFmtId="0" fontId="58" fillId="8" borderId="2" xfId="0" applyFont="1" applyFill="1" applyBorder="1" applyAlignment="1">
      <alignment horizontal="center" vertical="center" wrapText="1"/>
    </xf>
    <xf numFmtId="0" fontId="58" fillId="9" borderId="2" xfId="0" applyFont="1" applyFill="1" applyBorder="1" applyAlignment="1">
      <alignment horizontal="center" vertical="center"/>
    </xf>
    <xf numFmtId="0" fontId="58" fillId="9" borderId="2" xfId="0" applyFont="1" applyFill="1" applyBorder="1" applyAlignment="1">
      <alignment horizontal="center" vertical="center" wrapText="1"/>
    </xf>
    <xf numFmtId="0" fontId="65" fillId="0" borderId="0" xfId="0" applyFont="1"/>
    <xf numFmtId="165" fontId="76" fillId="0" borderId="0" xfId="0" applyNumberFormat="1" applyFont="1" applyAlignment="1">
      <alignment horizontal="center"/>
    </xf>
    <xf numFmtId="0" fontId="54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vertical="center"/>
    </xf>
    <xf numFmtId="167" fontId="52" fillId="0" borderId="2" xfId="1" applyNumberFormat="1" applyFont="1" applyBorder="1" applyAlignment="1">
      <alignment vertical="center"/>
    </xf>
    <xf numFmtId="0" fontId="58" fillId="7" borderId="2" xfId="0" applyFont="1" applyFill="1" applyBorder="1" applyAlignment="1">
      <alignment horizontal="center" vertical="center"/>
    </xf>
    <xf numFmtId="43" fontId="58" fillId="7" borderId="2" xfId="1" applyFont="1" applyFill="1" applyBorder="1" applyAlignment="1">
      <alignment horizontal="center" vertical="center"/>
    </xf>
    <xf numFmtId="0" fontId="58" fillId="9" borderId="2" xfId="0" applyFont="1" applyFill="1" applyBorder="1" applyAlignment="1">
      <alignment vertical="center" wrapText="1"/>
    </xf>
    <xf numFmtId="165" fontId="77" fillId="11" borderId="14" xfId="1" applyNumberFormat="1" applyFont="1" applyFill="1" applyBorder="1" applyAlignment="1">
      <alignment vertical="center"/>
    </xf>
    <xf numFmtId="10" fontId="77" fillId="12" borderId="2" xfId="176" applyNumberFormat="1" applyFont="1" applyFill="1" applyBorder="1" applyAlignment="1">
      <alignment vertical="center"/>
    </xf>
    <xf numFmtId="0" fontId="77" fillId="0" borderId="8" xfId="0" applyFont="1" applyBorder="1" applyAlignment="1">
      <alignment vertical="center"/>
    </xf>
    <xf numFmtId="165" fontId="77" fillId="11" borderId="0" xfId="1" applyNumberFormat="1" applyFont="1" applyFill="1" applyAlignment="1">
      <alignment vertical="center"/>
    </xf>
    <xf numFmtId="165" fontId="77" fillId="12" borderId="1" xfId="1" applyNumberFormat="1" applyFont="1" applyFill="1" applyBorder="1" applyAlignment="1">
      <alignment vertical="center"/>
    </xf>
    <xf numFmtId="165" fontId="77" fillId="0" borderId="14" xfId="1" applyNumberFormat="1" applyFont="1" applyBorder="1" applyAlignment="1">
      <alignment vertical="center"/>
    </xf>
    <xf numFmtId="43" fontId="77" fillId="12" borderId="1" xfId="1" applyFont="1" applyFill="1" applyBorder="1" applyAlignment="1">
      <alignment vertical="center"/>
    </xf>
    <xf numFmtId="10" fontId="77" fillId="12" borderId="1" xfId="176" applyNumberFormat="1" applyFont="1" applyFill="1" applyBorder="1" applyAlignment="1">
      <alignment vertical="center"/>
    </xf>
    <xf numFmtId="43" fontId="66" fillId="0" borderId="2" xfId="0" applyNumberFormat="1" applyFont="1" applyBorder="1" applyAlignment="1">
      <alignment vertical="center"/>
    </xf>
    <xf numFmtId="165" fontId="77" fillId="0" borderId="0" xfId="0" applyNumberFormat="1" applyFont="1"/>
    <xf numFmtId="165" fontId="77" fillId="12" borderId="8" xfId="1" applyNumberFormat="1" applyFont="1" applyFill="1" applyBorder="1" applyAlignment="1">
      <alignment vertical="center"/>
    </xf>
    <xf numFmtId="0" fontId="66" fillId="0" borderId="2" xfId="0" applyFont="1" applyBorder="1" applyAlignment="1">
      <alignment vertical="center"/>
    </xf>
    <xf numFmtId="0" fontId="77" fillId="0" borderId="2" xfId="0" applyFont="1" applyBorder="1" applyAlignment="1">
      <alignment vertical="center"/>
    </xf>
    <xf numFmtId="0" fontId="77" fillId="13" borderId="3" xfId="0" applyFont="1" applyFill="1" applyBorder="1" applyAlignment="1">
      <alignment vertical="center"/>
    </xf>
    <xf numFmtId="0" fontId="76" fillId="13" borderId="2" xfId="0" applyFont="1" applyFill="1" applyBorder="1" applyAlignment="1">
      <alignment horizontal="center" vertical="center"/>
    </xf>
    <xf numFmtId="43" fontId="77" fillId="13" borderId="14" xfId="1" applyFont="1" applyFill="1" applyBorder="1" applyAlignment="1">
      <alignment vertical="center"/>
    </xf>
    <xf numFmtId="0" fontId="77" fillId="13" borderId="10" xfId="0" applyFont="1" applyFill="1" applyBorder="1" applyAlignment="1">
      <alignment vertical="center"/>
    </xf>
    <xf numFmtId="43" fontId="58" fillId="13" borderId="1" xfId="1" applyFont="1" applyFill="1" applyBorder="1" applyAlignment="1">
      <alignment vertical="center"/>
    </xf>
    <xf numFmtId="43" fontId="58" fillId="13" borderId="2" xfId="1" applyFont="1" applyFill="1" applyBorder="1" applyAlignment="1">
      <alignment vertical="center"/>
    </xf>
    <xf numFmtId="10" fontId="58" fillId="13" borderId="1" xfId="176" applyNumberFormat="1" applyFont="1" applyFill="1" applyBorder="1" applyAlignment="1">
      <alignment vertical="center"/>
    </xf>
    <xf numFmtId="43" fontId="59" fillId="13" borderId="2" xfId="0" applyNumberFormat="1" applyFont="1" applyFill="1" applyBorder="1" applyAlignment="1">
      <alignment vertical="center"/>
    </xf>
    <xf numFmtId="43" fontId="65" fillId="0" borderId="1" xfId="1" applyFont="1" applyFill="1" applyBorder="1" applyAlignment="1">
      <alignment vertical="center"/>
    </xf>
    <xf numFmtId="165" fontId="77" fillId="0" borderId="1" xfId="1" applyNumberFormat="1" applyFont="1" applyFill="1" applyBorder="1" applyAlignment="1">
      <alignment vertical="center"/>
    </xf>
    <xf numFmtId="165" fontId="77" fillId="11" borderId="6" xfId="1" applyNumberFormat="1" applyFont="1" applyFill="1" applyBorder="1" applyAlignment="1">
      <alignment vertical="center"/>
    </xf>
    <xf numFmtId="165" fontId="77" fillId="11" borderId="9" xfId="1" applyNumberFormat="1" applyFont="1" applyFill="1" applyBorder="1" applyAlignment="1">
      <alignment vertical="center"/>
    </xf>
    <xf numFmtId="165" fontId="77" fillId="11" borderId="10" xfId="1" applyNumberFormat="1" applyFont="1" applyFill="1" applyBorder="1" applyAlignment="1">
      <alignment vertical="center"/>
    </xf>
    <xf numFmtId="43" fontId="77" fillId="11" borderId="6" xfId="1" applyFont="1" applyFill="1" applyBorder="1" applyAlignment="1">
      <alignment vertical="center"/>
    </xf>
    <xf numFmtId="43" fontId="77" fillId="11" borderId="9" xfId="1" applyFont="1" applyFill="1" applyBorder="1" applyAlignment="1">
      <alignment vertical="center"/>
    </xf>
    <xf numFmtId="43" fontId="77" fillId="11" borderId="0" xfId="1" applyFont="1" applyFill="1" applyBorder="1" applyAlignment="1">
      <alignment vertical="center"/>
    </xf>
    <xf numFmtId="165" fontId="77" fillId="11" borderId="0" xfId="1" applyNumberFormat="1" applyFont="1" applyFill="1" applyBorder="1" applyAlignment="1">
      <alignment vertical="center"/>
    </xf>
    <xf numFmtId="43" fontId="77" fillId="11" borderId="0" xfId="1" applyFont="1" applyFill="1" applyAlignment="1">
      <alignment vertical="center"/>
    </xf>
    <xf numFmtId="43" fontId="66" fillId="0" borderId="5" xfId="0" applyNumberFormat="1" applyFont="1" applyBorder="1" applyAlignment="1">
      <alignment vertical="center"/>
    </xf>
    <xf numFmtId="43" fontId="65" fillId="11" borderId="0" xfId="1" applyFont="1" applyFill="1" applyAlignment="1">
      <alignment vertical="center"/>
    </xf>
    <xf numFmtId="0" fontId="77" fillId="0" borderId="5" xfId="0" applyFont="1" applyBorder="1" applyAlignment="1">
      <alignment vertical="center"/>
    </xf>
    <xf numFmtId="165" fontId="77" fillId="0" borderId="0" xfId="1" applyNumberFormat="1" applyFont="1"/>
    <xf numFmtId="43" fontId="77" fillId="11" borderId="13" xfId="1" applyFont="1" applyFill="1" applyBorder="1" applyAlignment="1">
      <alignment vertical="center"/>
    </xf>
    <xf numFmtId="43" fontId="77" fillId="11" borderId="11" xfId="1" applyFont="1" applyFill="1" applyBorder="1" applyAlignment="1">
      <alignment vertical="center"/>
    </xf>
    <xf numFmtId="0" fontId="77" fillId="13" borderId="12" xfId="0" applyFont="1" applyFill="1" applyBorder="1" applyAlignment="1">
      <alignment vertical="center"/>
    </xf>
    <xf numFmtId="43" fontId="58" fillId="13" borderId="8" xfId="1" applyFont="1" applyFill="1" applyBorder="1" applyAlignment="1">
      <alignment vertical="center"/>
    </xf>
    <xf numFmtId="10" fontId="58" fillId="13" borderId="5" xfId="176" applyNumberFormat="1" applyFont="1" applyFill="1" applyBorder="1" applyAlignment="1">
      <alignment vertical="center"/>
    </xf>
    <xf numFmtId="0" fontId="59" fillId="13" borderId="5" xfId="0" applyFont="1" applyFill="1" applyBorder="1" applyAlignment="1">
      <alignment vertical="center"/>
    </xf>
    <xf numFmtId="0" fontId="77" fillId="0" borderId="0" xfId="0" applyFont="1" applyAlignment="1">
      <alignment vertical="center" wrapText="1"/>
    </xf>
    <xf numFmtId="0" fontId="77" fillId="0" borderId="0" xfId="0" applyFont="1" applyAlignment="1">
      <alignment vertical="center"/>
    </xf>
    <xf numFmtId="43" fontId="77" fillId="0" borderId="0" xfId="0" applyNumberFormat="1" applyFont="1"/>
    <xf numFmtId="43" fontId="77" fillId="0" borderId="8" xfId="1" applyFont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77" fillId="13" borderId="5" xfId="0" applyFont="1" applyFill="1" applyBorder="1" applyAlignment="1">
      <alignment vertical="center"/>
    </xf>
    <xf numFmtId="10" fontId="58" fillId="13" borderId="2" xfId="176" applyNumberFormat="1" applyFont="1" applyFill="1" applyBorder="1" applyAlignment="1">
      <alignment vertical="center"/>
    </xf>
    <xf numFmtId="0" fontId="59" fillId="13" borderId="2" xfId="0" applyFont="1" applyFill="1" applyBorder="1" applyAlignment="1">
      <alignment vertical="center"/>
    </xf>
    <xf numFmtId="165" fontId="65" fillId="0" borderId="6" xfId="0" applyNumberFormat="1" applyFont="1" applyBorder="1" applyAlignment="1">
      <alignment horizontal="center" vertical="center"/>
    </xf>
    <xf numFmtId="165" fontId="65" fillId="0" borderId="1" xfId="0" applyNumberFormat="1" applyFont="1" applyBorder="1" applyAlignment="1">
      <alignment vertical="center"/>
    </xf>
    <xf numFmtId="165" fontId="65" fillId="0" borderId="46" xfId="0" applyNumberFormat="1" applyFont="1" applyBorder="1" applyAlignment="1">
      <alignment vertical="center"/>
    </xf>
    <xf numFmtId="165" fontId="65" fillId="0" borderId="8" xfId="0" applyNumberFormat="1" applyFont="1" applyBorder="1" applyAlignment="1">
      <alignment vertical="center"/>
    </xf>
    <xf numFmtId="4" fontId="65" fillId="0" borderId="8" xfId="0" applyNumberFormat="1" applyFont="1" applyBorder="1" applyAlignment="1">
      <alignment horizontal="right" vertical="center"/>
    </xf>
    <xf numFmtId="165" fontId="65" fillId="0" borderId="2" xfId="0" applyNumberFormat="1" applyFont="1" applyBorder="1" applyAlignment="1">
      <alignment vertical="center"/>
    </xf>
    <xf numFmtId="43" fontId="58" fillId="48" borderId="39" xfId="0" applyNumberFormat="1" applyFont="1" applyFill="1" applyBorder="1" applyAlignment="1">
      <alignment vertical="center"/>
    </xf>
    <xf numFmtId="0" fontId="55" fillId="0" borderId="40" xfId="0" applyFont="1" applyBorder="1" applyAlignment="1">
      <alignment vertical="center"/>
    </xf>
    <xf numFmtId="0" fontId="55" fillId="0" borderId="8" xfId="0" applyFont="1" applyBorder="1" applyAlignment="1">
      <alignment vertical="center"/>
    </xf>
    <xf numFmtId="0" fontId="55" fillId="0" borderId="35" xfId="0" applyFont="1" applyBorder="1" applyAlignment="1">
      <alignment horizontal="center" vertical="center"/>
    </xf>
    <xf numFmtId="0" fontId="55" fillId="0" borderId="2" xfId="0" applyFont="1" applyBorder="1" applyAlignment="1">
      <alignment horizontal="left" vertical="center"/>
    </xf>
    <xf numFmtId="0" fontId="76" fillId="0" borderId="3" xfId="0" applyFont="1" applyBorder="1" applyAlignment="1">
      <alignment vertical="center"/>
    </xf>
    <xf numFmtId="0" fontId="76" fillId="0" borderId="4" xfId="0" applyFont="1" applyBorder="1" applyAlignment="1">
      <alignment vertical="center"/>
    </xf>
    <xf numFmtId="0" fontId="76" fillId="0" borderId="5" xfId="0" applyFont="1" applyBorder="1" applyAlignment="1">
      <alignment vertical="center"/>
    </xf>
    <xf numFmtId="43" fontId="77" fillId="12" borderId="2" xfId="1" applyFont="1" applyFill="1" applyBorder="1" applyAlignment="1">
      <alignment vertical="center"/>
    </xf>
    <xf numFmtId="43" fontId="77" fillId="11" borderId="2" xfId="1" applyFont="1" applyFill="1" applyBorder="1" applyAlignment="1">
      <alignment vertical="center"/>
    </xf>
    <xf numFmtId="165" fontId="65" fillId="0" borderId="41" xfId="0" applyNumberFormat="1" applyFont="1" applyBorder="1" applyAlignment="1">
      <alignment vertical="center" wrapText="1"/>
    </xf>
    <xf numFmtId="165" fontId="77" fillId="12" borderId="2" xfId="1" applyNumberFormat="1" applyFont="1" applyFill="1" applyBorder="1" applyAlignment="1">
      <alignment vertical="center"/>
    </xf>
    <xf numFmtId="165" fontId="77" fillId="0" borderId="15" xfId="0" applyNumberFormat="1" applyFont="1" applyBorder="1" applyAlignment="1">
      <alignment vertical="center"/>
    </xf>
    <xf numFmtId="165" fontId="77" fillId="0" borderId="16" xfId="1" applyNumberFormat="1" applyFont="1" applyBorder="1" applyAlignment="1">
      <alignment vertical="center"/>
    </xf>
    <xf numFmtId="165" fontId="77" fillId="0" borderId="17" xfId="0" applyNumberFormat="1" applyFont="1" applyBorder="1" applyAlignment="1">
      <alignment vertical="center"/>
    </xf>
    <xf numFmtId="4" fontId="65" fillId="0" borderId="0" xfId="0" applyNumberFormat="1" applyFont="1" applyAlignment="1">
      <alignment vertical="center"/>
    </xf>
    <xf numFmtId="165" fontId="65" fillId="0" borderId="6" xfId="0" applyNumberFormat="1" applyFont="1" applyBorder="1" applyAlignment="1">
      <alignment vertical="center"/>
    </xf>
    <xf numFmtId="165" fontId="65" fillId="0" borderId="13" xfId="0" applyNumberFormat="1" applyFont="1" applyBorder="1" applyAlignment="1">
      <alignment vertical="center"/>
    </xf>
    <xf numFmtId="165" fontId="65" fillId="0" borderId="8" xfId="0" applyNumberFormat="1" applyFont="1" applyBorder="1" applyAlignment="1">
      <alignment horizontal="center" vertical="center"/>
    </xf>
    <xf numFmtId="4" fontId="65" fillId="0" borderId="8" xfId="0" applyNumberFormat="1" applyFont="1" applyBorder="1" applyAlignment="1">
      <alignment horizontal="center" vertical="center"/>
    </xf>
    <xf numFmtId="165" fontId="65" fillId="0" borderId="6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4" fontId="55" fillId="42" borderId="2" xfId="0" applyNumberFormat="1" applyFont="1" applyFill="1" applyBorder="1" applyAlignment="1">
      <alignment vertical="center"/>
    </xf>
    <xf numFmtId="0" fontId="65" fillId="0" borderId="3" xfId="0" applyFont="1" applyBorder="1" applyAlignment="1">
      <alignment vertical="center"/>
    </xf>
    <xf numFmtId="0" fontId="65" fillId="0" borderId="4" xfId="0" applyFont="1" applyBorder="1" applyAlignment="1">
      <alignment vertical="center"/>
    </xf>
    <xf numFmtId="0" fontId="65" fillId="0" borderId="47" xfId="0" applyFont="1" applyBorder="1" applyAlignment="1">
      <alignment vertical="center"/>
    </xf>
    <xf numFmtId="165" fontId="65" fillId="0" borderId="14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65" fontId="65" fillId="0" borderId="0" xfId="0" applyNumberFormat="1" applyFont="1" applyAlignment="1">
      <alignment vertical="center"/>
    </xf>
    <xf numFmtId="0" fontId="64" fillId="0" borderId="2" xfId="0" applyFont="1" applyBorder="1" applyAlignment="1">
      <alignment vertical="center"/>
    </xf>
    <xf numFmtId="43" fontId="65" fillId="47" borderId="31" xfId="0" applyNumberFormat="1" applyFont="1" applyFill="1" applyBorder="1" applyAlignment="1">
      <alignment vertical="center"/>
    </xf>
    <xf numFmtId="0" fontId="67" fillId="0" borderId="2" xfId="0" applyFont="1" applyBorder="1" applyAlignment="1">
      <alignment vertical="center"/>
    </xf>
    <xf numFmtId="165" fontId="65" fillId="0" borderId="0" xfId="0" applyNumberFormat="1" applyFont="1" applyAlignment="1">
      <alignment horizontal="left" vertical="center"/>
    </xf>
    <xf numFmtId="165" fontId="65" fillId="0" borderId="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70" fillId="52" borderId="2" xfId="0" applyFont="1" applyFill="1" applyBorder="1" applyAlignment="1">
      <alignment horizontal="center" vertical="center"/>
    </xf>
    <xf numFmtId="0" fontId="70" fillId="0" borderId="0" xfId="0" applyFont="1" applyAlignment="1">
      <alignment vertical="center"/>
    </xf>
    <xf numFmtId="0" fontId="72" fillId="0" borderId="3" xfId="0" applyFont="1" applyBorder="1" applyAlignment="1">
      <alignment vertical="center"/>
    </xf>
    <xf numFmtId="0" fontId="72" fillId="0" borderId="4" xfId="0" applyFont="1" applyBorder="1" applyAlignment="1">
      <alignment vertical="center"/>
    </xf>
    <xf numFmtId="0" fontId="72" fillId="0" borderId="5" xfId="0" applyFont="1" applyBorder="1" applyAlignment="1">
      <alignment vertical="center"/>
    </xf>
    <xf numFmtId="0" fontId="73" fillId="0" borderId="3" xfId="0" quotePrefix="1" applyFont="1" applyBorder="1" applyAlignment="1">
      <alignment vertical="center"/>
    </xf>
    <xf numFmtId="0" fontId="73" fillId="0" borderId="4" xfId="0" quotePrefix="1" applyFont="1" applyBorder="1" applyAlignment="1">
      <alignment vertical="center"/>
    </xf>
    <xf numFmtId="0" fontId="73" fillId="0" borderId="5" xfId="0" quotePrefix="1" applyFont="1" applyBorder="1" applyAlignment="1">
      <alignment vertical="center"/>
    </xf>
    <xf numFmtId="0" fontId="72" fillId="0" borderId="53" xfId="0" applyFont="1" applyBorder="1" applyAlignment="1">
      <alignment vertical="center"/>
    </xf>
    <xf numFmtId="0" fontId="72" fillId="0" borderId="48" xfId="0" applyFont="1" applyBorder="1" applyAlignment="1">
      <alignment vertical="center"/>
    </xf>
    <xf numFmtId="0" fontId="72" fillId="0" borderId="49" xfId="0" applyFont="1" applyBorder="1" applyAlignment="1">
      <alignment vertical="center"/>
    </xf>
    <xf numFmtId="0" fontId="72" fillId="0" borderId="44" xfId="0" applyFont="1" applyBorder="1" applyAlignment="1">
      <alignment vertical="center"/>
    </xf>
    <xf numFmtId="0" fontId="72" fillId="0" borderId="43" xfId="0" applyFont="1" applyBorder="1" applyAlignment="1">
      <alignment vertical="center"/>
    </xf>
    <xf numFmtId="0" fontId="72" fillId="0" borderId="51" xfId="0" applyFont="1" applyBorder="1" applyAlignment="1">
      <alignment vertical="center"/>
    </xf>
    <xf numFmtId="0" fontId="55" fillId="0" borderId="4" xfId="0" applyFont="1" applyBorder="1" applyAlignment="1">
      <alignment vertical="center"/>
    </xf>
    <xf numFmtId="0" fontId="55" fillId="0" borderId="5" xfId="0" applyFont="1" applyBorder="1" applyAlignment="1">
      <alignment vertical="center"/>
    </xf>
    <xf numFmtId="4" fontId="55" fillId="0" borderId="43" xfId="0" applyNumberFormat="1" applyFont="1" applyBorder="1" applyAlignment="1">
      <alignment vertical="center"/>
    </xf>
    <xf numFmtId="4" fontId="55" fillId="0" borderId="51" xfId="0" applyNumberFormat="1" applyFont="1" applyBorder="1" applyAlignment="1">
      <alignment vertical="center"/>
    </xf>
    <xf numFmtId="4" fontId="55" fillId="45" borderId="0" xfId="0" applyNumberFormat="1" applyFont="1" applyFill="1" applyAlignment="1">
      <alignment vertical="center"/>
    </xf>
    <xf numFmtId="0" fontId="55" fillId="0" borderId="33" xfId="0" applyFont="1" applyBorder="1" applyAlignment="1">
      <alignment horizontal="center" vertical="center"/>
    </xf>
    <xf numFmtId="4" fontId="55" fillId="0" borderId="33" xfId="0" applyNumberFormat="1" applyFont="1" applyBorder="1" applyAlignment="1">
      <alignment horizontal="center" vertical="center"/>
    </xf>
    <xf numFmtId="4" fontId="55" fillId="2" borderId="2" xfId="0" applyNumberFormat="1" applyFont="1" applyFill="1" applyBorder="1" applyAlignment="1">
      <alignment vertical="center"/>
    </xf>
    <xf numFmtId="0" fontId="55" fillId="0" borderId="57" xfId="0" applyFont="1" applyBorder="1" applyAlignment="1">
      <alignment horizontal="center" vertical="center"/>
    </xf>
    <xf numFmtId="0" fontId="55" fillId="0" borderId="58" xfId="0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/>
    </xf>
    <xf numFmtId="0" fontId="55" fillId="0" borderId="59" xfId="0" applyFont="1" applyBorder="1" applyAlignment="1">
      <alignment horizontal="center" vertical="center"/>
    </xf>
    <xf numFmtId="4" fontId="55" fillId="2" borderId="37" xfId="0" applyNumberFormat="1" applyFont="1" applyFill="1" applyBorder="1" applyAlignment="1">
      <alignment vertical="center"/>
    </xf>
    <xf numFmtId="4" fontId="55" fillId="2" borderId="8" xfId="0" applyNumberFormat="1" applyFont="1" applyFill="1" applyBorder="1" applyAlignment="1">
      <alignment vertical="center"/>
    </xf>
    <xf numFmtId="0" fontId="65" fillId="0" borderId="60" xfId="0" applyFont="1" applyBorder="1" applyAlignment="1">
      <alignment horizontal="left" vertical="center"/>
    </xf>
    <xf numFmtId="0" fontId="65" fillId="0" borderId="61" xfId="0" applyFont="1" applyBorder="1" applyAlignment="1">
      <alignment horizontal="center" vertical="center"/>
    </xf>
    <xf numFmtId="165" fontId="77" fillId="0" borderId="60" xfId="1" applyNumberFormat="1" applyFont="1" applyBorder="1" applyAlignment="1">
      <alignment vertical="center"/>
    </xf>
    <xf numFmtId="165" fontId="77" fillId="0" borderId="60" xfId="1" applyNumberFormat="1" applyFont="1" applyFill="1" applyBorder="1" applyAlignment="1">
      <alignment vertical="center"/>
    </xf>
    <xf numFmtId="4" fontId="65" fillId="0" borderId="60" xfId="0" applyNumberFormat="1" applyFont="1" applyBorder="1" applyAlignment="1">
      <alignment horizontal="right" vertical="center"/>
    </xf>
    <xf numFmtId="165" fontId="65" fillId="0" borderId="60" xfId="0" applyNumberFormat="1" applyFont="1" applyBorder="1" applyAlignment="1">
      <alignment vertical="center"/>
    </xf>
    <xf numFmtId="165" fontId="65" fillId="0" borderId="61" xfId="0" applyNumberFormat="1" applyFont="1" applyBorder="1" applyAlignment="1">
      <alignment vertical="center"/>
    </xf>
    <xf numFmtId="0" fontId="65" fillId="0" borderId="60" xfId="0" applyFont="1" applyBorder="1" applyAlignment="1">
      <alignment horizontal="center" vertical="center"/>
    </xf>
    <xf numFmtId="4" fontId="65" fillId="0" borderId="61" xfId="0" applyNumberFormat="1" applyFont="1" applyBorder="1" applyAlignment="1">
      <alignment horizontal="right" vertical="center"/>
    </xf>
    <xf numFmtId="4" fontId="65" fillId="0" borderId="61" xfId="0" applyNumberFormat="1" applyFont="1" applyBorder="1" applyAlignment="1">
      <alignment horizontal="center" vertical="center"/>
    </xf>
    <xf numFmtId="4" fontId="65" fillId="0" borderId="32" xfId="0" applyNumberFormat="1" applyFont="1" applyBorder="1" applyAlignment="1">
      <alignment horizontal="right" vertical="center"/>
    </xf>
    <xf numFmtId="0" fontId="65" fillId="0" borderId="61" xfId="0" applyFont="1" applyBorder="1" applyAlignment="1">
      <alignment horizontal="left" vertical="center"/>
    </xf>
    <xf numFmtId="0" fontId="66" fillId="0" borderId="0" xfId="0" applyFont="1" applyAlignment="1">
      <alignment vertical="center"/>
    </xf>
    <xf numFmtId="43" fontId="65" fillId="0" borderId="2" xfId="0" applyNumberFormat="1" applyFont="1" applyBorder="1" applyAlignment="1">
      <alignment vertical="center"/>
    </xf>
    <xf numFmtId="0" fontId="77" fillId="0" borderId="61" xfId="0" applyFont="1" applyBorder="1" applyAlignment="1">
      <alignment vertical="center"/>
    </xf>
    <xf numFmtId="43" fontId="65" fillId="0" borderId="61" xfId="1" applyFont="1" applyBorder="1" applyAlignment="1">
      <alignment vertical="center"/>
    </xf>
    <xf numFmtId="43" fontId="65" fillId="0" borderId="60" xfId="1" applyFont="1" applyBorder="1" applyAlignment="1">
      <alignment vertical="center"/>
    </xf>
    <xf numFmtId="165" fontId="77" fillId="11" borderId="60" xfId="1" applyNumberFormat="1" applyFont="1" applyFill="1" applyBorder="1" applyAlignment="1">
      <alignment vertical="center"/>
    </xf>
    <xf numFmtId="43" fontId="65" fillId="11" borderId="0" xfId="1" applyFont="1" applyFill="1" applyBorder="1" applyAlignment="1">
      <alignment vertical="center"/>
    </xf>
    <xf numFmtId="165" fontId="77" fillId="0" borderId="61" xfId="1" applyNumberFormat="1" applyFont="1" applyBorder="1" applyAlignment="1">
      <alignment vertical="center"/>
    </xf>
    <xf numFmtId="0" fontId="77" fillId="0" borderId="60" xfId="0" applyFont="1" applyBorder="1" applyAlignment="1">
      <alignment vertical="center"/>
    </xf>
    <xf numFmtId="4" fontId="77" fillId="0" borderId="60" xfId="0" applyNumberFormat="1" applyFont="1" applyBorder="1" applyAlignment="1">
      <alignment horizontal="center" vertical="center"/>
    </xf>
    <xf numFmtId="43" fontId="77" fillId="0" borderId="61" xfId="1" applyFont="1" applyBorder="1" applyAlignment="1">
      <alignment vertical="center"/>
    </xf>
    <xf numFmtId="0" fontId="77" fillId="0" borderId="60" xfId="0" applyFont="1" applyBorder="1" applyAlignment="1">
      <alignment horizontal="center" vertical="center"/>
    </xf>
    <xf numFmtId="4" fontId="77" fillId="0" borderId="60" xfId="0" applyNumberFormat="1" applyFont="1" applyBorder="1" applyAlignment="1">
      <alignment horizontal="right" vertical="center"/>
    </xf>
    <xf numFmtId="43" fontId="77" fillId="11" borderId="60" xfId="1" applyFont="1" applyFill="1" applyBorder="1" applyAlignment="1">
      <alignment vertical="center"/>
    </xf>
    <xf numFmtId="0" fontId="65" fillId="0" borderId="60" xfId="0" applyFont="1" applyBorder="1" applyAlignment="1">
      <alignment vertical="center"/>
    </xf>
    <xf numFmtId="188" fontId="77" fillId="0" borderId="61" xfId="1" applyNumberFormat="1" applyFont="1" applyFill="1" applyBorder="1" applyAlignment="1">
      <alignment vertical="center"/>
    </xf>
    <xf numFmtId="165" fontId="77" fillId="12" borderId="61" xfId="1" applyNumberFormat="1" applyFont="1" applyFill="1" applyBorder="1" applyAlignment="1">
      <alignment vertical="center"/>
    </xf>
    <xf numFmtId="0" fontId="66" fillId="0" borderId="60" xfId="0" applyFont="1" applyBorder="1" applyAlignment="1">
      <alignment vertical="center"/>
    </xf>
    <xf numFmtId="165" fontId="77" fillId="0" borderId="61" xfId="1" applyNumberFormat="1" applyFont="1" applyBorder="1" applyAlignment="1">
      <alignment vertical="center" wrapText="1"/>
    </xf>
    <xf numFmtId="43" fontId="77" fillId="0" borderId="61" xfId="1" applyFont="1" applyFill="1" applyBorder="1" applyAlignment="1">
      <alignment vertical="center" wrapText="1"/>
    </xf>
    <xf numFmtId="165" fontId="77" fillId="0" borderId="61" xfId="1" applyNumberFormat="1" applyFont="1" applyFill="1" applyBorder="1" applyAlignment="1">
      <alignment vertical="center"/>
    </xf>
    <xf numFmtId="165" fontId="65" fillId="0" borderId="61" xfId="0" applyNumberFormat="1" applyFont="1" applyBorder="1" applyAlignment="1">
      <alignment horizontal="center" vertical="center"/>
    </xf>
    <xf numFmtId="165" fontId="65" fillId="0" borderId="60" xfId="0" applyNumberFormat="1" applyFont="1" applyBorder="1" applyAlignment="1">
      <alignment horizontal="center" vertical="center"/>
    </xf>
    <xf numFmtId="190" fontId="77" fillId="0" borderId="61" xfId="1" applyNumberFormat="1" applyFont="1" applyBorder="1" applyAlignment="1">
      <alignment vertical="center"/>
    </xf>
    <xf numFmtId="4" fontId="65" fillId="0" borderId="14" xfId="0" applyNumberFormat="1" applyFont="1" applyBorder="1" applyAlignment="1">
      <alignment horizontal="center" vertical="center"/>
    </xf>
    <xf numFmtId="4" fontId="77" fillId="0" borderId="60" xfId="0" applyNumberFormat="1" applyFont="1" applyBorder="1" applyAlignment="1">
      <alignment vertical="center"/>
    </xf>
    <xf numFmtId="4" fontId="55" fillId="0" borderId="2" xfId="0" applyNumberFormat="1" applyFont="1" applyBorder="1" applyAlignment="1">
      <alignment horizontal="right" vertical="center"/>
    </xf>
    <xf numFmtId="4" fontId="73" fillId="2" borderId="37" xfId="0" applyNumberFormat="1" applyFont="1" applyFill="1" applyBorder="1" applyAlignment="1">
      <alignment vertical="center"/>
    </xf>
    <xf numFmtId="4" fontId="55" fillId="2" borderId="44" xfId="0" applyNumberFormat="1" applyFont="1" applyFill="1" applyBorder="1" applyAlignment="1">
      <alignment vertical="center"/>
    </xf>
    <xf numFmtId="4" fontId="53" fillId="42" borderId="2" xfId="0" applyNumberFormat="1" applyFont="1" applyFill="1" applyBorder="1" applyAlignment="1">
      <alignment vertical="center"/>
    </xf>
    <xf numFmtId="4" fontId="55" fillId="54" borderId="2" xfId="0" applyNumberFormat="1" applyFont="1" applyFill="1" applyBorder="1" applyAlignment="1">
      <alignment vertical="center"/>
    </xf>
    <xf numFmtId="4" fontId="73" fillId="14" borderId="2" xfId="0" applyNumberFormat="1" applyFont="1" applyFill="1" applyBorder="1" applyAlignment="1">
      <alignment vertical="center"/>
    </xf>
    <xf numFmtId="0" fontId="71" fillId="48" borderId="3" xfId="0" applyFont="1" applyFill="1" applyBorder="1" applyAlignment="1">
      <alignment vertical="center"/>
    </xf>
    <xf numFmtId="0" fontId="71" fillId="48" borderId="4" xfId="0" applyFont="1" applyFill="1" applyBorder="1" applyAlignment="1">
      <alignment vertical="center"/>
    </xf>
    <xf numFmtId="0" fontId="71" fillId="48" borderId="5" xfId="0" applyFont="1" applyFill="1" applyBorder="1" applyAlignment="1">
      <alignment vertical="center"/>
    </xf>
    <xf numFmtId="4" fontId="55" fillId="42" borderId="2" xfId="0" applyNumberFormat="1" applyFont="1" applyFill="1" applyBorder="1" applyAlignment="1">
      <alignment horizontal="right" vertical="center"/>
    </xf>
    <xf numFmtId="180" fontId="55" fillId="42" borderId="3" xfId="1" applyNumberFormat="1" applyFont="1" applyFill="1" applyBorder="1" applyAlignment="1">
      <alignment vertical="center"/>
    </xf>
    <xf numFmtId="180" fontId="55" fillId="53" borderId="4" xfId="1" applyNumberFormat="1" applyFont="1" applyFill="1" applyBorder="1" applyAlignment="1">
      <alignment vertical="center"/>
    </xf>
    <xf numFmtId="180" fontId="55" fillId="53" borderId="5" xfId="1" applyNumberFormat="1" applyFont="1" applyFill="1" applyBorder="1" applyAlignment="1">
      <alignment vertical="center"/>
    </xf>
    <xf numFmtId="180" fontId="55" fillId="42" borderId="13" xfId="1" applyNumberFormat="1" applyFont="1" applyFill="1" applyBorder="1" applyAlignment="1">
      <alignment vertical="center"/>
    </xf>
    <xf numFmtId="180" fontId="55" fillId="53" borderId="11" xfId="1" applyNumberFormat="1" applyFont="1" applyFill="1" applyBorder="1" applyAlignment="1">
      <alignment vertical="center"/>
    </xf>
    <xf numFmtId="180" fontId="55" fillId="53" borderId="12" xfId="1" applyNumberFormat="1" applyFont="1" applyFill="1" applyBorder="1" applyAlignment="1">
      <alignment vertical="center"/>
    </xf>
    <xf numFmtId="4" fontId="55" fillId="53" borderId="2" xfId="0" applyNumberFormat="1" applyFont="1" applyFill="1" applyBorder="1" applyAlignment="1">
      <alignment vertical="center"/>
    </xf>
    <xf numFmtId="4" fontId="53" fillId="14" borderId="2" xfId="0" applyNumberFormat="1" applyFont="1" applyFill="1" applyBorder="1" applyAlignment="1">
      <alignment vertical="center"/>
    </xf>
    <xf numFmtId="4" fontId="71" fillId="42" borderId="2" xfId="0" applyNumberFormat="1" applyFont="1" applyFill="1" applyBorder="1" applyAlignment="1">
      <alignment vertical="center"/>
    </xf>
    <xf numFmtId="4" fontId="71" fillId="0" borderId="2" xfId="0" applyNumberFormat="1" applyFont="1" applyBorder="1" applyAlignment="1">
      <alignment vertical="center"/>
    </xf>
    <xf numFmtId="4" fontId="82" fillId="42" borderId="2" xfId="0" applyNumberFormat="1" applyFont="1" applyFill="1" applyBorder="1" applyAlignment="1">
      <alignment vertical="center"/>
    </xf>
    <xf numFmtId="4" fontId="85" fillId="2" borderId="37" xfId="0" applyNumberFormat="1" applyFont="1" applyFill="1" applyBorder="1" applyAlignment="1">
      <alignment vertical="center"/>
    </xf>
    <xf numFmtId="4" fontId="71" fillId="42" borderId="37" xfId="0" applyNumberFormat="1" applyFont="1" applyFill="1" applyBorder="1" applyAlignment="1">
      <alignment vertical="center"/>
    </xf>
    <xf numFmtId="4" fontId="71" fillId="54" borderId="2" xfId="0" applyNumberFormat="1" applyFont="1" applyFill="1" applyBorder="1" applyAlignment="1">
      <alignment vertical="center"/>
    </xf>
    <xf numFmtId="4" fontId="82" fillId="54" borderId="2" xfId="0" applyNumberFormat="1" applyFont="1" applyFill="1" applyBorder="1" applyAlignment="1">
      <alignment vertical="center"/>
    </xf>
    <xf numFmtId="43" fontId="77" fillId="11" borderId="9" xfId="1" applyFont="1" applyFill="1" applyBorder="1" applyAlignment="1">
      <alignment horizontal="center" vertical="center"/>
    </xf>
    <xf numFmtId="43" fontId="77" fillId="11" borderId="10" xfId="1" applyFont="1" applyFill="1" applyBorder="1" applyAlignment="1">
      <alignment horizontal="center" vertical="center"/>
    </xf>
    <xf numFmtId="43" fontId="77" fillId="11" borderId="14" xfId="1" applyFont="1" applyFill="1" applyBorder="1" applyAlignment="1">
      <alignment horizontal="center" vertical="center"/>
    </xf>
    <xf numFmtId="43" fontId="77" fillId="11" borderId="0" xfId="1" applyFont="1" applyFill="1" applyAlignment="1">
      <alignment horizontal="center" vertical="center"/>
    </xf>
    <xf numFmtId="43" fontId="77" fillId="11" borderId="11" xfId="1" applyFont="1" applyFill="1" applyBorder="1" applyAlignment="1">
      <alignment horizontal="center" vertical="center"/>
    </xf>
    <xf numFmtId="43" fontId="77" fillId="11" borderId="12" xfId="1" applyFont="1" applyFill="1" applyBorder="1" applyAlignment="1">
      <alignment horizontal="center" vertical="center"/>
    </xf>
    <xf numFmtId="0" fontId="77" fillId="13" borderId="3" xfId="0" applyFont="1" applyFill="1" applyBorder="1" applyAlignment="1">
      <alignment vertical="center"/>
    </xf>
    <xf numFmtId="0" fontId="77" fillId="13" borderId="4" xfId="0" applyFont="1" applyFill="1" applyBorder="1" applyAlignment="1">
      <alignment vertical="center"/>
    </xf>
    <xf numFmtId="0" fontId="77" fillId="13" borderId="10" xfId="0" applyFont="1" applyFill="1" applyBorder="1" applyAlignment="1">
      <alignment vertical="center"/>
    </xf>
    <xf numFmtId="0" fontId="76" fillId="0" borderId="1" xfId="0" applyFont="1" applyBorder="1" applyAlignment="1">
      <alignment horizontal="center" vertical="center" textRotation="90" wrapText="1"/>
    </xf>
    <xf numFmtId="0" fontId="76" fillId="0" borderId="61" xfId="0" applyFont="1" applyBorder="1" applyAlignment="1">
      <alignment horizontal="center" vertical="center" textRotation="90" wrapText="1"/>
    </xf>
    <xf numFmtId="0" fontId="76" fillId="0" borderId="8" xfId="0" applyFont="1" applyBorder="1" applyAlignment="1">
      <alignment horizontal="center" vertical="center" textRotation="90" wrapText="1"/>
    </xf>
    <xf numFmtId="165" fontId="77" fillId="11" borderId="9" xfId="1" applyNumberFormat="1" applyFont="1" applyFill="1" applyBorder="1" applyAlignment="1">
      <alignment horizontal="center" vertical="center"/>
    </xf>
    <xf numFmtId="165" fontId="77" fillId="11" borderId="0" xfId="1" applyNumberFormat="1" applyFont="1" applyFill="1" applyAlignment="1">
      <alignment horizontal="center" vertical="center"/>
    </xf>
    <xf numFmtId="0" fontId="76" fillId="0" borderId="61" xfId="0" applyFont="1" applyBorder="1" applyAlignment="1">
      <alignment horizontal="center" vertical="center" textRotation="90"/>
    </xf>
    <xf numFmtId="0" fontId="76" fillId="0" borderId="8" xfId="0" applyFont="1" applyBorder="1" applyAlignment="1">
      <alignment horizontal="center" vertical="center" textRotation="90"/>
    </xf>
    <xf numFmtId="0" fontId="77" fillId="13" borderId="9" xfId="0" applyFont="1" applyFill="1" applyBorder="1" applyAlignment="1">
      <alignment vertical="center"/>
    </xf>
    <xf numFmtId="0" fontId="76" fillId="0" borderId="1" xfId="0" applyFont="1" applyBorder="1" applyAlignment="1">
      <alignment horizontal="center" vertical="center" textRotation="90"/>
    </xf>
    <xf numFmtId="165" fontId="77" fillId="11" borderId="6" xfId="1" applyNumberFormat="1" applyFont="1" applyFill="1" applyBorder="1" applyAlignment="1">
      <alignment horizontal="center" vertical="center"/>
    </xf>
    <xf numFmtId="165" fontId="77" fillId="11" borderId="10" xfId="1" applyNumberFormat="1" applyFont="1" applyFill="1" applyBorder="1" applyAlignment="1">
      <alignment horizontal="center" vertical="center"/>
    </xf>
    <xf numFmtId="165" fontId="77" fillId="11" borderId="60" xfId="1" applyNumberFormat="1" applyFont="1" applyFill="1" applyBorder="1" applyAlignment="1">
      <alignment horizontal="center" vertical="center"/>
    </xf>
    <xf numFmtId="165" fontId="77" fillId="11" borderId="14" xfId="1" applyNumberFormat="1" applyFont="1" applyFill="1" applyBorder="1" applyAlignment="1">
      <alignment horizontal="center" vertical="center"/>
    </xf>
    <xf numFmtId="165" fontId="77" fillId="11" borderId="13" xfId="1" applyNumberFormat="1" applyFont="1" applyFill="1" applyBorder="1" applyAlignment="1">
      <alignment horizontal="center" vertical="center"/>
    </xf>
    <xf numFmtId="165" fontId="77" fillId="11" borderId="11" xfId="1" applyNumberFormat="1" applyFont="1" applyFill="1" applyBorder="1" applyAlignment="1">
      <alignment horizontal="center" vertical="center"/>
    </xf>
    <xf numFmtId="165" fontId="77" fillId="11" borderId="12" xfId="1" applyNumberFormat="1" applyFont="1" applyFill="1" applyBorder="1" applyAlignment="1">
      <alignment horizontal="center" vertical="center"/>
    </xf>
    <xf numFmtId="170" fontId="43" fillId="42" borderId="11" xfId="1" applyNumberFormat="1" applyFont="1" applyFill="1" applyBorder="1" applyAlignment="1">
      <alignment horizontal="center"/>
    </xf>
    <xf numFmtId="0" fontId="42" fillId="41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4" fillId="41" borderId="2" xfId="0" applyFont="1" applyFill="1" applyBorder="1" applyAlignment="1">
      <alignment horizontal="center" vertical="center"/>
    </xf>
    <xf numFmtId="0" fontId="4" fillId="41" borderId="3" xfId="0" applyFont="1" applyFill="1" applyBorder="1" applyAlignment="1">
      <alignment horizontal="center" vertical="center"/>
    </xf>
    <xf numFmtId="0" fontId="4" fillId="41" borderId="4" xfId="0" applyFont="1" applyFill="1" applyBorder="1" applyAlignment="1">
      <alignment horizontal="center" vertical="center"/>
    </xf>
    <xf numFmtId="171" fontId="43" fillId="42" borderId="2" xfId="1" applyNumberFormat="1" applyFont="1" applyFill="1" applyBorder="1" applyAlignment="1">
      <alignment horizontal="center" vertical="top"/>
    </xf>
    <xf numFmtId="0" fontId="43" fillId="42" borderId="3" xfId="0" applyFont="1" applyFill="1" applyBorder="1" applyAlignment="1">
      <alignment horizontal="center" vertical="top"/>
    </xf>
    <xf numFmtId="0" fontId="43" fillId="42" borderId="4" xfId="0" applyFont="1" applyFill="1" applyBorder="1" applyAlignment="1">
      <alignment horizontal="center" vertical="top"/>
    </xf>
    <xf numFmtId="0" fontId="43" fillId="42" borderId="5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/>
    </xf>
    <xf numFmtId="0" fontId="64" fillId="0" borderId="3" xfId="0" applyFont="1" applyBorder="1" applyAlignment="1">
      <alignment horizontal="left" vertical="center"/>
    </xf>
    <xf numFmtId="0" fontId="64" fillId="0" borderId="4" xfId="0" applyFont="1" applyBorder="1" applyAlignment="1">
      <alignment horizontal="left" vertical="center"/>
    </xf>
    <xf numFmtId="0" fontId="64" fillId="0" borderId="5" xfId="0" applyFont="1" applyBorder="1" applyAlignment="1">
      <alignment horizontal="left" vertical="center"/>
    </xf>
    <xf numFmtId="0" fontId="65" fillId="48" borderId="52" xfId="0" applyFont="1" applyFill="1" applyBorder="1" applyAlignment="1">
      <alignment horizontal="center" vertical="center"/>
    </xf>
    <xf numFmtId="0" fontId="65" fillId="48" borderId="34" xfId="0" applyFont="1" applyFill="1" applyBorder="1" applyAlignment="1">
      <alignment horizontal="center" vertical="center"/>
    </xf>
    <xf numFmtId="0" fontId="64" fillId="51" borderId="37" xfId="0" applyFont="1" applyFill="1" applyBorder="1" applyAlignment="1">
      <alignment horizontal="center" vertical="center"/>
    </xf>
    <xf numFmtId="0" fontId="53" fillId="0" borderId="38" xfId="0" applyFont="1" applyBorder="1"/>
    <xf numFmtId="165" fontId="65" fillId="0" borderId="2" xfId="0" applyNumberFormat="1" applyFont="1" applyBorder="1" applyAlignment="1">
      <alignment horizontal="center" vertical="center"/>
    </xf>
    <xf numFmtId="165" fontId="65" fillId="0" borderId="3" xfId="0" applyNumberFormat="1" applyFont="1" applyBorder="1" applyAlignment="1">
      <alignment horizontal="center" vertical="center"/>
    </xf>
    <xf numFmtId="165" fontId="65" fillId="0" borderId="8" xfId="0" applyNumberFormat="1" applyFont="1" applyBorder="1" applyAlignment="1">
      <alignment horizontal="center" vertical="center"/>
    </xf>
    <xf numFmtId="0" fontId="77" fillId="13" borderId="2" xfId="0" applyFont="1" applyFill="1" applyBorder="1" applyAlignment="1">
      <alignment vertical="center"/>
    </xf>
    <xf numFmtId="0" fontId="77" fillId="13" borderId="1" xfId="0" applyFont="1" applyFill="1" applyBorder="1" applyAlignment="1">
      <alignment vertical="center"/>
    </xf>
    <xf numFmtId="0" fontId="64" fillId="0" borderId="1" xfId="0" applyFont="1" applyBorder="1" applyAlignment="1">
      <alignment horizontal="center" vertical="center" textRotation="90"/>
    </xf>
    <xf numFmtId="0" fontId="77" fillId="0" borderId="61" xfId="0" applyFont="1" applyBorder="1"/>
    <xf numFmtId="0" fontId="77" fillId="0" borderId="60" xfId="0" applyFont="1" applyBorder="1"/>
    <xf numFmtId="0" fontId="77" fillId="0" borderId="8" xfId="0" applyFont="1" applyBorder="1"/>
    <xf numFmtId="0" fontId="64" fillId="0" borderId="11" xfId="0" applyFont="1" applyBorder="1" applyAlignment="1">
      <alignment horizontal="left" vertical="center"/>
    </xf>
    <xf numFmtId="0" fontId="64" fillId="0" borderId="44" xfId="0" applyFont="1" applyBorder="1" applyAlignment="1">
      <alignment horizontal="left" vertical="center"/>
    </xf>
    <xf numFmtId="0" fontId="64" fillId="0" borderId="43" xfId="0" applyFont="1" applyBorder="1" applyAlignment="1">
      <alignment horizontal="left" vertical="center"/>
    </xf>
    <xf numFmtId="0" fontId="64" fillId="0" borderId="51" xfId="0" applyFont="1" applyBorder="1" applyAlignment="1">
      <alignment horizontal="left" vertical="center"/>
    </xf>
    <xf numFmtId="0" fontId="77" fillId="13" borderId="60" xfId="0" applyFont="1" applyFill="1" applyBorder="1" applyAlignment="1">
      <alignment vertical="center"/>
    </xf>
    <xf numFmtId="0" fontId="77" fillId="13" borderId="0" xfId="0" applyFont="1" applyFill="1" applyAlignment="1">
      <alignment vertical="center"/>
    </xf>
    <xf numFmtId="0" fontId="64" fillId="0" borderId="4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13" xfId="0" applyFont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58" fillId="8" borderId="2" xfId="0" applyFont="1" applyFill="1" applyBorder="1" applyAlignment="1">
      <alignment horizontal="center" vertical="center" wrapText="1"/>
    </xf>
    <xf numFmtId="0" fontId="59" fillId="40" borderId="2" xfId="163" applyFont="1" applyFill="1" applyBorder="1" applyAlignment="1">
      <alignment horizontal="center" vertical="center" textRotation="90"/>
    </xf>
    <xf numFmtId="165" fontId="77" fillId="0" borderId="6" xfId="1" applyNumberFormat="1" applyFont="1" applyFill="1" applyBorder="1" applyAlignment="1">
      <alignment horizontal="center" vertical="center"/>
    </xf>
    <xf numFmtId="165" fontId="77" fillId="0" borderId="4" xfId="1" applyNumberFormat="1" applyFont="1" applyFill="1" applyBorder="1" applyAlignment="1">
      <alignment horizontal="center" vertical="center"/>
    </xf>
    <xf numFmtId="0" fontId="60" fillId="10" borderId="3" xfId="0" applyFont="1" applyFill="1" applyBorder="1" applyAlignment="1">
      <alignment horizontal="center" vertical="center"/>
    </xf>
    <xf numFmtId="0" fontId="60" fillId="10" borderId="5" xfId="0" applyFont="1" applyFill="1" applyBorder="1" applyAlignment="1">
      <alignment horizontal="center" vertical="center"/>
    </xf>
    <xf numFmtId="0" fontId="58" fillId="40" borderId="2" xfId="163" applyFont="1" applyFill="1" applyBorder="1" applyAlignment="1">
      <alignment horizontal="center" vertical="center"/>
    </xf>
    <xf numFmtId="0" fontId="59" fillId="40" borderId="2" xfId="163" applyFont="1" applyFill="1" applyBorder="1" applyAlignment="1">
      <alignment horizontal="center" vertical="center"/>
    </xf>
    <xf numFmtId="0" fontId="58" fillId="9" borderId="2" xfId="0" applyFont="1" applyFill="1" applyBorder="1" applyAlignment="1">
      <alignment horizontal="center" vertical="center"/>
    </xf>
    <xf numFmtId="0" fontId="58" fillId="9" borderId="2" xfId="0" applyFont="1" applyFill="1" applyBorder="1" applyAlignment="1">
      <alignment horizontal="center" vertical="center" wrapText="1"/>
    </xf>
    <xf numFmtId="0" fontId="75" fillId="0" borderId="3" xfId="174" applyFont="1" applyBorder="1" applyAlignment="1">
      <alignment horizontal="center" vertical="center"/>
    </xf>
    <xf numFmtId="0" fontId="75" fillId="0" borderId="4" xfId="174" applyFont="1" applyBorder="1" applyAlignment="1">
      <alignment horizontal="center" vertical="center"/>
    </xf>
    <xf numFmtId="0" fontId="75" fillId="0" borderId="5" xfId="174" applyFont="1" applyBorder="1" applyAlignment="1">
      <alignment horizontal="center" vertical="center"/>
    </xf>
    <xf numFmtId="43" fontId="74" fillId="0" borderId="3" xfId="31" applyFont="1" applyBorder="1" applyAlignment="1">
      <alignment horizontal="center" vertical="center"/>
    </xf>
    <xf numFmtId="43" fontId="74" fillId="0" borderId="4" xfId="31" applyFont="1" applyBorder="1" applyAlignment="1">
      <alignment horizontal="center" vertical="center"/>
    </xf>
    <xf numFmtId="43" fontId="74" fillId="0" borderId="5" xfId="31" applyFont="1" applyBorder="1" applyAlignment="1">
      <alignment horizontal="center" vertical="center"/>
    </xf>
    <xf numFmtId="0" fontId="62" fillId="4" borderId="3" xfId="0" applyFont="1" applyFill="1" applyBorder="1"/>
    <xf numFmtId="0" fontId="62" fillId="4" borderId="4" xfId="0" applyFont="1" applyFill="1" applyBorder="1"/>
    <xf numFmtId="0" fontId="62" fillId="4" borderId="5" xfId="0" applyFont="1" applyFill="1" applyBorder="1"/>
    <xf numFmtId="0" fontId="58" fillId="5" borderId="2" xfId="0" applyFont="1" applyFill="1" applyBorder="1" applyAlignment="1">
      <alignment horizontal="center" vertical="center"/>
    </xf>
    <xf numFmtId="0" fontId="58" fillId="6" borderId="2" xfId="0" applyFont="1" applyFill="1" applyBorder="1" applyAlignment="1">
      <alignment horizontal="center" vertical="center"/>
    </xf>
    <xf numFmtId="0" fontId="59" fillId="6" borderId="2" xfId="0" applyFont="1" applyFill="1" applyBorder="1" applyAlignment="1">
      <alignment vertical="center"/>
    </xf>
    <xf numFmtId="0" fontId="58" fillId="7" borderId="2" xfId="0" applyFont="1" applyFill="1" applyBorder="1" applyAlignment="1">
      <alignment horizontal="center" vertical="center" wrapText="1"/>
    </xf>
    <xf numFmtId="0" fontId="62" fillId="0" borderId="1" xfId="174" applyFont="1" applyBorder="1" applyAlignment="1">
      <alignment horizontal="center" vertical="center"/>
    </xf>
    <xf numFmtId="0" fontId="62" fillId="0" borderId="61" xfId="174" applyFont="1" applyBorder="1" applyAlignment="1">
      <alignment horizontal="center" vertical="center"/>
    </xf>
    <xf numFmtId="0" fontId="62" fillId="0" borderId="8" xfId="174" applyFont="1" applyBorder="1" applyAlignment="1">
      <alignment horizontal="center" vertical="center"/>
    </xf>
    <xf numFmtId="0" fontId="74" fillId="0" borderId="6" xfId="174" applyFont="1" applyBorder="1" applyAlignment="1">
      <alignment horizontal="center" vertical="center"/>
    </xf>
    <xf numFmtId="0" fontId="74" fillId="0" borderId="9" xfId="174" applyFont="1" applyBorder="1" applyAlignment="1">
      <alignment horizontal="center" vertical="center"/>
    </xf>
    <xf numFmtId="0" fontId="74" fillId="0" borderId="10" xfId="174" applyFont="1" applyBorder="1" applyAlignment="1">
      <alignment horizontal="center" vertical="center"/>
    </xf>
    <xf numFmtId="0" fontId="74" fillId="0" borderId="13" xfId="174" applyFont="1" applyBorder="1" applyAlignment="1">
      <alignment horizontal="center" vertical="center"/>
    </xf>
    <xf numFmtId="0" fontId="74" fillId="0" borderId="11" xfId="174" applyFont="1" applyBorder="1" applyAlignment="1">
      <alignment horizontal="center" vertical="center"/>
    </xf>
    <xf numFmtId="0" fontId="74" fillId="0" borderId="12" xfId="174" applyFont="1" applyBorder="1" applyAlignment="1">
      <alignment horizontal="center" vertical="center"/>
    </xf>
    <xf numFmtId="0" fontId="62" fillId="0" borderId="6" xfId="174" applyFont="1" applyBorder="1" applyAlignment="1">
      <alignment horizontal="center" vertical="center" wrapText="1"/>
    </xf>
    <xf numFmtId="0" fontId="62" fillId="0" borderId="9" xfId="174" applyFont="1" applyBorder="1" applyAlignment="1">
      <alignment horizontal="center" vertical="center" wrapText="1"/>
    </xf>
    <xf numFmtId="0" fontId="62" fillId="0" borderId="10" xfId="174" applyFont="1" applyBorder="1" applyAlignment="1">
      <alignment horizontal="center" vertical="center" wrapText="1"/>
    </xf>
    <xf numFmtId="0" fontId="62" fillId="0" borderId="13" xfId="174" applyFont="1" applyBorder="1" applyAlignment="1">
      <alignment horizontal="center" vertical="center" wrapText="1"/>
    </xf>
    <xf numFmtId="0" fontId="62" fillId="0" borderId="11" xfId="174" applyFont="1" applyBorder="1" applyAlignment="1">
      <alignment horizontal="center" vertical="center" wrapText="1"/>
    </xf>
    <xf numFmtId="0" fontId="62" fillId="0" borderId="12" xfId="174" applyFont="1" applyBorder="1" applyAlignment="1">
      <alignment horizontal="center" vertical="center" wrapText="1"/>
    </xf>
    <xf numFmtId="0" fontId="56" fillId="0" borderId="3" xfId="174" applyFont="1" applyBorder="1" applyAlignment="1">
      <alignment horizontal="left" vertical="center"/>
    </xf>
    <xf numFmtId="0" fontId="56" fillId="0" borderId="4" xfId="174" applyFont="1" applyBorder="1" applyAlignment="1">
      <alignment horizontal="left" vertical="center"/>
    </xf>
    <xf numFmtId="0" fontId="56" fillId="0" borderId="5" xfId="174" applyFont="1" applyBorder="1" applyAlignment="1">
      <alignment horizontal="left" vertical="center"/>
    </xf>
    <xf numFmtId="0" fontId="56" fillId="42" borderId="3" xfId="174" applyFont="1" applyFill="1" applyBorder="1" applyAlignment="1">
      <alignment horizontal="center" vertical="center"/>
    </xf>
    <xf numFmtId="0" fontId="56" fillId="42" borderId="4" xfId="174" applyFont="1" applyFill="1" applyBorder="1" applyAlignment="1">
      <alignment horizontal="center" vertical="center"/>
    </xf>
    <xf numFmtId="0" fontId="56" fillId="42" borderId="5" xfId="174" applyFont="1" applyFill="1" applyBorder="1" applyAlignment="1">
      <alignment horizontal="center" vertical="center"/>
    </xf>
    <xf numFmtId="0" fontId="74" fillId="42" borderId="3" xfId="174" applyFont="1" applyFill="1" applyBorder="1" applyAlignment="1">
      <alignment horizontal="center" vertical="center"/>
    </xf>
    <xf numFmtId="0" fontId="74" fillId="42" borderId="4" xfId="174" applyFont="1" applyFill="1" applyBorder="1" applyAlignment="1">
      <alignment horizontal="center" vertical="center"/>
    </xf>
    <xf numFmtId="0" fontId="74" fillId="42" borderId="5" xfId="174" applyFont="1" applyFill="1" applyBorder="1" applyAlignment="1">
      <alignment horizontal="center" vertical="center"/>
    </xf>
    <xf numFmtId="0" fontId="57" fillId="0" borderId="3" xfId="174" applyFont="1" applyBorder="1" applyAlignment="1">
      <alignment horizontal="center" vertical="center"/>
    </xf>
    <xf numFmtId="0" fontId="57" fillId="0" borderId="5" xfId="174" applyFont="1" applyBorder="1" applyAlignment="1">
      <alignment horizontal="center" vertical="center"/>
    </xf>
    <xf numFmtId="0" fontId="73" fillId="0" borderId="37" xfId="0" applyFont="1" applyBorder="1" applyAlignment="1">
      <alignment horizontal="center" vertical="center"/>
    </xf>
    <xf numFmtId="0" fontId="73" fillId="0" borderId="38" xfId="0" applyFont="1" applyBorder="1" applyAlignment="1">
      <alignment horizontal="center" vertical="center"/>
    </xf>
    <xf numFmtId="0" fontId="73" fillId="0" borderId="39" xfId="0" applyFont="1" applyBorder="1" applyAlignment="1">
      <alignment horizontal="center" vertical="center"/>
    </xf>
    <xf numFmtId="0" fontId="72" fillId="52" borderId="38" xfId="0" applyFont="1" applyFill="1" applyBorder="1" applyAlignment="1">
      <alignment horizontal="left" vertical="center"/>
    </xf>
    <xf numFmtId="0" fontId="72" fillId="52" borderId="13" xfId="0" applyFont="1" applyFill="1" applyBorder="1" applyAlignment="1">
      <alignment horizontal="left" vertical="center"/>
    </xf>
    <xf numFmtId="0" fontId="72" fillId="52" borderId="11" xfId="0" applyFont="1" applyFill="1" applyBorder="1" applyAlignment="1">
      <alignment horizontal="left" vertical="center"/>
    </xf>
    <xf numFmtId="0" fontId="72" fillId="52" borderId="12" xfId="0" applyFont="1" applyFill="1" applyBorder="1" applyAlignment="1">
      <alignment horizontal="left" vertical="center"/>
    </xf>
    <xf numFmtId="0" fontId="72" fillId="52" borderId="48" xfId="0" applyFont="1" applyFill="1" applyBorder="1" applyAlignment="1">
      <alignment horizontal="left" vertical="center"/>
    </xf>
    <xf numFmtId="0" fontId="71" fillId="48" borderId="30" xfId="0" applyFont="1" applyFill="1" applyBorder="1" applyAlignment="1">
      <alignment horizontal="left" vertical="center"/>
    </xf>
    <xf numFmtId="0" fontId="64" fillId="0" borderId="54" xfId="0" applyFont="1" applyBorder="1" applyAlignment="1">
      <alignment horizontal="left" vertical="center"/>
    </xf>
    <xf numFmtId="165" fontId="65" fillId="46" borderId="6" xfId="0" applyNumberFormat="1" applyFont="1" applyFill="1" applyBorder="1" applyAlignment="1">
      <alignment horizontal="center" vertical="center"/>
    </xf>
    <xf numFmtId="165" fontId="65" fillId="46" borderId="9" xfId="0" applyNumberFormat="1" applyFont="1" applyFill="1" applyBorder="1" applyAlignment="1">
      <alignment horizontal="center" vertical="center"/>
    </xf>
    <xf numFmtId="165" fontId="65" fillId="46" borderId="10" xfId="0" applyNumberFormat="1" applyFont="1" applyFill="1" applyBorder="1" applyAlignment="1">
      <alignment horizontal="center" vertical="center"/>
    </xf>
    <xf numFmtId="165" fontId="65" fillId="46" borderId="60" xfId="0" applyNumberFormat="1" applyFont="1" applyFill="1" applyBorder="1" applyAlignment="1">
      <alignment horizontal="center" vertical="center"/>
    </xf>
    <xf numFmtId="165" fontId="65" fillId="46" borderId="0" xfId="0" applyNumberFormat="1" applyFont="1" applyFill="1" applyAlignment="1">
      <alignment horizontal="center" vertical="center"/>
    </xf>
    <xf numFmtId="165" fontId="65" fillId="46" borderId="14" xfId="0" applyNumberFormat="1" applyFont="1" applyFill="1" applyBorder="1" applyAlignment="1">
      <alignment horizontal="center" vertical="center"/>
    </xf>
    <xf numFmtId="0" fontId="64" fillId="0" borderId="6" xfId="0" applyFont="1" applyBorder="1" applyAlignment="1">
      <alignment horizontal="left" vertical="center"/>
    </xf>
    <xf numFmtId="0" fontId="64" fillId="0" borderId="9" xfId="0" applyFont="1" applyBorder="1" applyAlignment="1">
      <alignment horizontal="left" vertical="center"/>
    </xf>
    <xf numFmtId="0" fontId="64" fillId="0" borderId="10" xfId="0" applyFont="1" applyBorder="1" applyAlignment="1">
      <alignment horizontal="left" vertical="center"/>
    </xf>
    <xf numFmtId="165" fontId="65" fillId="0" borderId="1" xfId="0" applyNumberFormat="1" applyFont="1" applyBorder="1" applyAlignment="1">
      <alignment horizontal="center" vertical="center"/>
    </xf>
    <xf numFmtId="165" fontId="65" fillId="0" borderId="6" xfId="0" applyNumberFormat="1" applyFont="1" applyBorder="1" applyAlignment="1">
      <alignment horizontal="center" vertical="center"/>
    </xf>
    <xf numFmtId="0" fontId="72" fillId="52" borderId="3" xfId="0" applyFont="1" applyFill="1" applyBorder="1" applyAlignment="1">
      <alignment horizontal="left" vertical="center"/>
    </xf>
    <xf numFmtId="0" fontId="69" fillId="0" borderId="0" xfId="0" applyFont="1" applyAlignment="1">
      <alignment horizontal="center" vertical="center"/>
    </xf>
    <xf numFmtId="0" fontId="65" fillId="48" borderId="35" xfId="0" applyFont="1" applyFill="1" applyBorder="1" applyAlignment="1">
      <alignment horizontal="center" vertical="center"/>
    </xf>
    <xf numFmtId="0" fontId="64" fillId="0" borderId="53" xfId="0" applyFont="1" applyBorder="1" applyAlignment="1">
      <alignment horizontal="left" vertical="center"/>
    </xf>
    <xf numFmtId="0" fontId="64" fillId="0" borderId="48" xfId="0" applyFont="1" applyBorder="1" applyAlignment="1">
      <alignment horizontal="left" vertical="center"/>
    </xf>
    <xf numFmtId="0" fontId="77" fillId="0" borderId="2" xfId="0" applyFont="1" applyBorder="1"/>
    <xf numFmtId="0" fontId="64" fillId="0" borderId="38" xfId="0" applyFont="1" applyBorder="1" applyAlignment="1">
      <alignment horizontal="left" vertical="center"/>
    </xf>
    <xf numFmtId="2" fontId="58" fillId="9" borderId="2" xfId="0" applyNumberFormat="1" applyFont="1" applyFill="1" applyBorder="1" applyAlignment="1">
      <alignment horizontal="center" vertical="center" wrapText="1"/>
    </xf>
    <xf numFmtId="0" fontId="72" fillId="52" borderId="4" xfId="0" applyFont="1" applyFill="1" applyBorder="1" applyAlignment="1">
      <alignment horizontal="left" vertical="center"/>
    </xf>
    <xf numFmtId="0" fontId="72" fillId="52" borderId="5" xfId="0" applyFont="1" applyFill="1" applyBorder="1" applyAlignment="1">
      <alignment horizontal="left" vertical="center"/>
    </xf>
    <xf numFmtId="0" fontId="72" fillId="52" borderId="53" xfId="0" applyFont="1" applyFill="1" applyBorder="1" applyAlignment="1">
      <alignment horizontal="left" vertical="center"/>
    </xf>
    <xf numFmtId="0" fontId="72" fillId="52" borderId="49" xfId="0" applyFont="1" applyFill="1" applyBorder="1" applyAlignment="1">
      <alignment horizontal="left" vertical="center"/>
    </xf>
    <xf numFmtId="0" fontId="69" fillId="0" borderId="11" xfId="0" applyFont="1" applyBorder="1" applyAlignment="1">
      <alignment horizontal="center" vertical="center"/>
    </xf>
    <xf numFmtId="165" fontId="65" fillId="0" borderId="13" xfId="0" applyNumberFormat="1" applyFont="1" applyBorder="1" applyAlignment="1">
      <alignment horizontal="center" vertical="center"/>
    </xf>
    <xf numFmtId="0" fontId="64" fillId="0" borderId="34" xfId="0" applyFont="1" applyBorder="1" applyAlignment="1">
      <alignment horizontal="left" vertical="center"/>
    </xf>
    <xf numFmtId="0" fontId="72" fillId="52" borderId="43" xfId="0" applyFont="1" applyFill="1" applyBorder="1" applyAlignment="1">
      <alignment horizontal="left" vertical="center"/>
    </xf>
    <xf numFmtId="0" fontId="77" fillId="0" borderId="3" xfId="0" applyFont="1" applyBorder="1"/>
    <xf numFmtId="0" fontId="64" fillId="0" borderId="13" xfId="0" applyFont="1" applyBorder="1" applyAlignment="1">
      <alignment horizontal="left" vertical="center"/>
    </xf>
    <xf numFmtId="43" fontId="65" fillId="46" borderId="2" xfId="0" applyNumberFormat="1" applyFont="1" applyFill="1" applyBorder="1" applyAlignment="1">
      <alignment horizontal="center" vertical="center"/>
    </xf>
    <xf numFmtId="0" fontId="77" fillId="13" borderId="5" xfId="0" applyFont="1" applyFill="1" applyBorder="1" applyAlignment="1">
      <alignment vertical="center"/>
    </xf>
    <xf numFmtId="0" fontId="72" fillId="52" borderId="54" xfId="0" applyFont="1" applyFill="1" applyBorder="1" applyAlignment="1">
      <alignment horizontal="left" vertical="center"/>
    </xf>
    <xf numFmtId="0" fontId="72" fillId="52" borderId="50" xfId="0" applyFont="1" applyFill="1" applyBorder="1" applyAlignment="1">
      <alignment horizontal="left" vertical="center"/>
    </xf>
    <xf numFmtId="0" fontId="72" fillId="52" borderId="44" xfId="0" applyFont="1" applyFill="1" applyBorder="1" applyAlignment="1">
      <alignment horizontal="left" vertical="center"/>
    </xf>
    <xf numFmtId="0" fontId="72" fillId="52" borderId="51" xfId="0" applyFont="1" applyFill="1" applyBorder="1" applyAlignment="1">
      <alignment horizontal="left" vertical="center"/>
    </xf>
    <xf numFmtId="0" fontId="73" fillId="0" borderId="2" xfId="0" applyFont="1" applyBorder="1" applyAlignment="1">
      <alignment horizontal="center" vertical="center"/>
    </xf>
    <xf numFmtId="0" fontId="70" fillId="52" borderId="2" xfId="0" applyFont="1" applyFill="1" applyBorder="1" applyAlignment="1">
      <alignment horizontal="center" vertical="center"/>
    </xf>
    <xf numFmtId="0" fontId="78" fillId="0" borderId="2" xfId="0" applyFont="1" applyBorder="1" applyAlignment="1">
      <alignment vertical="center"/>
    </xf>
    <xf numFmtId="0" fontId="78" fillId="0" borderId="2" xfId="0" applyFont="1" applyBorder="1" applyAlignment="1">
      <alignment horizontal="center" vertical="center"/>
    </xf>
    <xf numFmtId="0" fontId="70" fillId="52" borderId="2" xfId="0" applyFont="1" applyFill="1" applyBorder="1" applyAlignment="1">
      <alignment horizontal="center" vertical="center" wrapText="1"/>
    </xf>
    <xf numFmtId="0" fontId="71" fillId="48" borderId="55" xfId="0" applyFont="1" applyFill="1" applyBorder="1" applyAlignment="1">
      <alignment horizontal="left" vertical="center"/>
    </xf>
    <xf numFmtId="0" fontId="71" fillId="48" borderId="56" xfId="0" applyFont="1" applyFill="1" applyBorder="1" applyAlignment="1">
      <alignment horizontal="left" vertical="center"/>
    </xf>
    <xf numFmtId="0" fontId="71" fillId="48" borderId="13" xfId="0" applyFont="1" applyFill="1" applyBorder="1" applyAlignment="1">
      <alignment horizontal="left" vertical="center"/>
    </xf>
    <xf numFmtId="0" fontId="71" fillId="48" borderId="11" xfId="0" applyFont="1" applyFill="1" applyBorder="1" applyAlignment="1">
      <alignment horizontal="left" vertical="center"/>
    </xf>
    <xf numFmtId="0" fontId="71" fillId="48" borderId="12" xfId="0" applyFont="1" applyFill="1" applyBorder="1" applyAlignment="1">
      <alignment horizontal="left" vertical="center"/>
    </xf>
  </cellXfs>
  <cellStyles count="20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" xfId="1" builtinId="3"/>
    <cellStyle name="Comma 10" xfId="29" xr:uid="{00000000-0005-0000-0000-00001C000000}"/>
    <cellStyle name="Comma 11" xfId="181" xr:uid="{5538CE8C-9A80-498B-B07D-0B6F6831EFD3}"/>
    <cellStyle name="Comma 2" xfId="30" xr:uid="{00000000-0005-0000-0000-00001D000000}"/>
    <cellStyle name="Comma 2 2" xfId="31" xr:uid="{00000000-0005-0000-0000-00001E000000}"/>
    <cellStyle name="Comma 2 2 2" xfId="32" xr:uid="{00000000-0005-0000-0000-00001F000000}"/>
    <cellStyle name="Comma 2 2 3" xfId="33" xr:uid="{00000000-0005-0000-0000-000020000000}"/>
    <cellStyle name="Comma 2 2 4" xfId="190" xr:uid="{7D5A270A-392A-46E1-B097-321DF7C01AF1}"/>
    <cellStyle name="Comma 2 3" xfId="34" xr:uid="{00000000-0005-0000-0000-000021000000}"/>
    <cellStyle name="Comma 3" xfId="35" xr:uid="{00000000-0005-0000-0000-000022000000}"/>
    <cellStyle name="Comma 3 2" xfId="36" xr:uid="{00000000-0005-0000-0000-000023000000}"/>
    <cellStyle name="Comma 3 3" xfId="187" xr:uid="{6DA78E6C-5539-4F28-A7E5-8B0F6A7FA920}"/>
    <cellStyle name="Comma 4" xfId="37" xr:uid="{00000000-0005-0000-0000-000024000000}"/>
    <cellStyle name="Comma 4 2" xfId="38" xr:uid="{00000000-0005-0000-0000-000025000000}"/>
    <cellStyle name="Comma 4 3" xfId="183" xr:uid="{1B0B8F52-0DD4-44DB-88F4-1868766C71F9}"/>
    <cellStyle name="Comma 5" xfId="39" xr:uid="{00000000-0005-0000-0000-000026000000}"/>
    <cellStyle name="Comma 5 2" xfId="40" xr:uid="{00000000-0005-0000-0000-000027000000}"/>
    <cellStyle name="Comma 6" xfId="41" xr:uid="{00000000-0005-0000-0000-000028000000}"/>
    <cellStyle name="Comma 6 2" xfId="42" xr:uid="{00000000-0005-0000-0000-000029000000}"/>
    <cellStyle name="Comma 6 3" xfId="43" xr:uid="{00000000-0005-0000-0000-00002A000000}"/>
    <cellStyle name="Comma 6 4" xfId="44" xr:uid="{00000000-0005-0000-0000-00002B000000}"/>
    <cellStyle name="Comma 6 5" xfId="45" xr:uid="{00000000-0005-0000-0000-00002C000000}"/>
    <cellStyle name="Comma 7" xfId="46" xr:uid="{00000000-0005-0000-0000-00002D000000}"/>
    <cellStyle name="Comma 7 2" xfId="47" xr:uid="{00000000-0005-0000-0000-00002E000000}"/>
    <cellStyle name="Comma 7 3" xfId="48" xr:uid="{00000000-0005-0000-0000-00002F000000}"/>
    <cellStyle name="Comma 8" xfId="49" xr:uid="{00000000-0005-0000-0000-000030000000}"/>
    <cellStyle name="Comma 9" xfId="50" xr:uid="{00000000-0005-0000-0000-000031000000}"/>
    <cellStyle name="Comma 9 2" xfId="51" xr:uid="{00000000-0005-0000-0000-000032000000}"/>
    <cellStyle name="comma zerodec" xfId="129" xr:uid="{00000000-0005-0000-0000-000033000000}"/>
    <cellStyle name="Cover" xfId="52" xr:uid="{00000000-0005-0000-0000-000034000000}"/>
    <cellStyle name="Currency1" xfId="130" xr:uid="{00000000-0005-0000-0000-000035000000}"/>
    <cellStyle name="Dollar (zero dec)" xfId="131" xr:uid="{00000000-0005-0000-0000-000036000000}"/>
    <cellStyle name="Euro" xfId="53" xr:uid="{00000000-0005-0000-0000-000037000000}"/>
    <cellStyle name="Excel Built-in Normal" xfId="192" xr:uid="{F11D2D5A-78B0-40CE-8E13-CDB11F8648FC}"/>
    <cellStyle name="Explanatory Text 2" xfId="54" xr:uid="{00000000-0005-0000-0000-000038000000}"/>
    <cellStyle name="Good 2" xfId="55" xr:uid="{00000000-0005-0000-0000-000039000000}"/>
    <cellStyle name="Grey" xfId="132" xr:uid="{00000000-0005-0000-0000-00003A000000}"/>
    <cellStyle name="Header" xfId="133" xr:uid="{00000000-0005-0000-0000-00003B000000}"/>
    <cellStyle name="Heading 1 2" xfId="56" xr:uid="{00000000-0005-0000-0000-00003C000000}"/>
    <cellStyle name="Heading 2 2" xfId="57" xr:uid="{00000000-0005-0000-0000-00003D000000}"/>
    <cellStyle name="Heading 3 2" xfId="58" xr:uid="{00000000-0005-0000-0000-00003E000000}"/>
    <cellStyle name="Heading 4 2" xfId="59" xr:uid="{00000000-0005-0000-0000-00003F000000}"/>
    <cellStyle name="Heading1" xfId="134" xr:uid="{00000000-0005-0000-0000-000040000000}"/>
    <cellStyle name="Hyperlink 2" xfId="60" xr:uid="{00000000-0005-0000-0000-000042000000}"/>
    <cellStyle name="Hyperlink 3" xfId="61" xr:uid="{00000000-0005-0000-0000-000043000000}"/>
    <cellStyle name="Hyperlink 4" xfId="178" xr:uid="{8FC7F514-0D73-42DE-9FA2-E62DBB461EC0}"/>
    <cellStyle name="Input [yellow]" xfId="135" xr:uid="{00000000-0005-0000-0000-000044000000}"/>
    <cellStyle name="Input 2" xfId="62" xr:uid="{00000000-0005-0000-0000-000045000000}"/>
    <cellStyle name="Input 3" xfId="63" xr:uid="{00000000-0005-0000-0000-000046000000}"/>
    <cellStyle name="Linked Cell 2" xfId="64" xr:uid="{00000000-0005-0000-0000-000047000000}"/>
    <cellStyle name="Menu" xfId="65" xr:uid="{00000000-0005-0000-0000-000048000000}"/>
    <cellStyle name="Milliers [0]_Req_Data" xfId="136" xr:uid="{00000000-0005-0000-0000-000049000000}"/>
    <cellStyle name="Milliers_Req_Data" xfId="137" xr:uid="{00000000-0005-0000-0000-00004A000000}"/>
    <cellStyle name="Monétaire [0]_Req_Data" xfId="138" xr:uid="{00000000-0005-0000-0000-00004B000000}"/>
    <cellStyle name="Monétaire_Req_Data" xfId="139" xr:uid="{00000000-0005-0000-0000-00004C000000}"/>
    <cellStyle name="Neutral 2" xfId="66" xr:uid="{00000000-0005-0000-0000-00004D000000}"/>
    <cellStyle name="no dec" xfId="140" xr:uid="{00000000-0005-0000-0000-00004E000000}"/>
    <cellStyle name="Norm੎੎" xfId="67" xr:uid="{00000000-0005-0000-0000-00004F000000}"/>
    <cellStyle name="Normal" xfId="0" builtinId="0"/>
    <cellStyle name="Normal - Style1" xfId="141" xr:uid="{00000000-0005-0000-0000-000051000000}"/>
    <cellStyle name="Normal 10" xfId="68" xr:uid="{00000000-0005-0000-0000-000052000000}"/>
    <cellStyle name="Normal 11" xfId="160" xr:uid="{00000000-0005-0000-0000-000053000000}"/>
    <cellStyle name="Normal 12" xfId="161" xr:uid="{00000000-0005-0000-0000-000054000000}"/>
    <cellStyle name="Normal 13" xfId="162" xr:uid="{00000000-0005-0000-0000-000055000000}"/>
    <cellStyle name="Normal 14" xfId="163" xr:uid="{00000000-0005-0000-0000-000056000000}"/>
    <cellStyle name="Normal 15" xfId="164" xr:uid="{00000000-0005-0000-0000-000057000000}"/>
    <cellStyle name="Normal 16" xfId="165" xr:uid="{00000000-0005-0000-0000-000058000000}"/>
    <cellStyle name="Normal 17" xfId="69" xr:uid="{00000000-0005-0000-0000-000059000000}"/>
    <cellStyle name="Normal 18" xfId="166" xr:uid="{00000000-0005-0000-0000-00005A000000}"/>
    <cellStyle name="Normal 19" xfId="167" xr:uid="{00000000-0005-0000-0000-00005B000000}"/>
    <cellStyle name="Normal 2" xfId="70" xr:uid="{00000000-0005-0000-0000-00005C000000}"/>
    <cellStyle name="Normal 2 2" xfId="71" xr:uid="{00000000-0005-0000-0000-00005D000000}"/>
    <cellStyle name="Normal 2 2 2" xfId="72" xr:uid="{00000000-0005-0000-0000-00005E000000}"/>
    <cellStyle name="Normal 2 2 3" xfId="73" xr:uid="{00000000-0005-0000-0000-00005F000000}"/>
    <cellStyle name="Normal 2 2 4" xfId="74" xr:uid="{00000000-0005-0000-0000-000060000000}"/>
    <cellStyle name="Normal 2 3" xfId="75" xr:uid="{00000000-0005-0000-0000-000061000000}"/>
    <cellStyle name="Normal 2 4" xfId="184" xr:uid="{E9EFFEDD-B6C1-4DDD-9E44-602A872E2E99}"/>
    <cellStyle name="Normal 20" xfId="168" xr:uid="{00000000-0005-0000-0000-000062000000}"/>
    <cellStyle name="Normal 21" xfId="169" xr:uid="{00000000-0005-0000-0000-000063000000}"/>
    <cellStyle name="Normal 22" xfId="170" xr:uid="{00000000-0005-0000-0000-000064000000}"/>
    <cellStyle name="Normal 23" xfId="171" xr:uid="{00000000-0005-0000-0000-000065000000}"/>
    <cellStyle name="Normal 24" xfId="172" xr:uid="{00000000-0005-0000-0000-000066000000}"/>
    <cellStyle name="Normal 25" xfId="173" xr:uid="{00000000-0005-0000-0000-000067000000}"/>
    <cellStyle name="Normal 26" xfId="174" xr:uid="{00000000-0005-0000-0000-000068000000}"/>
    <cellStyle name="Normal 27" xfId="175" xr:uid="{00000000-0005-0000-0000-000069000000}"/>
    <cellStyle name="Normal 28" xfId="179" xr:uid="{21541882-6209-4931-BB74-C65DFA9DC6B7}"/>
    <cellStyle name="Normal 28 2" xfId="180" xr:uid="{0BBDE088-702C-4B0F-8CB2-3E21C5511AAB}"/>
    <cellStyle name="Normal 28 3" xfId="193" xr:uid="{1B126C62-CCA1-4D33-AF6F-90AFA5E16623}"/>
    <cellStyle name="Normal 29" xfId="182" xr:uid="{60A57D07-5834-47E0-91C6-DBBD4B56EE4E}"/>
    <cellStyle name="Normal 3" xfId="76" xr:uid="{00000000-0005-0000-0000-00006A000000}"/>
    <cellStyle name="Normal 3 2" xfId="77" xr:uid="{00000000-0005-0000-0000-00006B000000}"/>
    <cellStyle name="Normal 30" xfId="191" xr:uid="{B7941ED1-4372-4A55-B9EC-66AB53EEF9B2}"/>
    <cellStyle name="Normal 31" xfId="177" xr:uid="{2E3942BD-0E8E-412A-89B4-ACEA05B90276}"/>
    <cellStyle name="Normal 32" xfId="203" xr:uid="{038097C6-0B96-4B83-AEA4-3444E46F2F13}"/>
    <cellStyle name="Normal 4" xfId="78" xr:uid="{00000000-0005-0000-0000-00006C000000}"/>
    <cellStyle name="Normal 4 2" xfId="79" xr:uid="{00000000-0005-0000-0000-00006D000000}"/>
    <cellStyle name="Normal 4 2 2" xfId="80" xr:uid="{00000000-0005-0000-0000-00006E000000}"/>
    <cellStyle name="Normal 4 2 3" xfId="189" xr:uid="{DF0BC194-496E-474B-9F2F-62EEFCD8E9B5}"/>
    <cellStyle name="Normal 5" xfId="81" xr:uid="{00000000-0005-0000-0000-00006F000000}"/>
    <cellStyle name="Normal 5 2" xfId="82" xr:uid="{00000000-0005-0000-0000-000070000000}"/>
    <cellStyle name="Normal 5 3" xfId="83" xr:uid="{00000000-0005-0000-0000-000071000000}"/>
    <cellStyle name="Normal 6" xfId="84" xr:uid="{00000000-0005-0000-0000-000072000000}"/>
    <cellStyle name="Normal 7" xfId="85" xr:uid="{00000000-0005-0000-0000-000073000000}"/>
    <cellStyle name="Normal 7 2" xfId="86" xr:uid="{00000000-0005-0000-0000-000074000000}"/>
    <cellStyle name="Normal 7 3" xfId="185" xr:uid="{65309301-2208-4F23-BDED-672540391A59}"/>
    <cellStyle name="Normal 8" xfId="87" xr:uid="{00000000-0005-0000-0000-000075000000}"/>
    <cellStyle name="Normal 8 2" xfId="88" xr:uid="{00000000-0005-0000-0000-000076000000}"/>
    <cellStyle name="Normal 8 3" xfId="89" xr:uid="{00000000-0005-0000-0000-000077000000}"/>
    <cellStyle name="Normal 9" xfId="90" xr:uid="{00000000-0005-0000-0000-000078000000}"/>
    <cellStyle name="Normal 9 2" xfId="91" xr:uid="{00000000-0005-0000-0000-000079000000}"/>
    <cellStyle name="Normale_Cartel2" xfId="142" xr:uid="{00000000-0005-0000-0000-00007A000000}"/>
    <cellStyle name="Note 2" xfId="92" xr:uid="{00000000-0005-0000-0000-00007B000000}"/>
    <cellStyle name="Output 2" xfId="93" xr:uid="{00000000-0005-0000-0000-00007C000000}"/>
    <cellStyle name="Percent" xfId="176" builtinId="5"/>
    <cellStyle name="Percent [2]" xfId="143" xr:uid="{00000000-0005-0000-0000-00007E000000}"/>
    <cellStyle name="Percent 2" xfId="94" xr:uid="{00000000-0005-0000-0000-00007F000000}"/>
    <cellStyle name="Percent 3" xfId="186" xr:uid="{937E0F48-8F5B-44B7-BEAF-3942FAA62BA6}"/>
    <cellStyle name="Percent 4" xfId="194" xr:uid="{5D799B75-0220-4A1E-BFC4-7DA8F0B66126}"/>
    <cellStyle name="Percent 5" xfId="202" xr:uid="{7E851C71-7315-4DFF-A050-B970F3CAA7EF}"/>
    <cellStyle name="Quantity" xfId="144" xr:uid="{00000000-0005-0000-0000-000080000000}"/>
    <cellStyle name="SAPBEXaggData" xfId="95" xr:uid="{00000000-0005-0000-0000-000081000000}"/>
    <cellStyle name="SAPBEXaggItem" xfId="96" xr:uid="{00000000-0005-0000-0000-000082000000}"/>
    <cellStyle name="SAPBEXchaText" xfId="97" xr:uid="{00000000-0005-0000-0000-000083000000}"/>
    <cellStyle name="SAPBEXformats" xfId="98" xr:uid="{00000000-0005-0000-0000-000084000000}"/>
    <cellStyle name="SAPBEXstdData" xfId="99" xr:uid="{00000000-0005-0000-0000-000085000000}"/>
    <cellStyle name="SAPBEXstdItem" xfId="100" xr:uid="{00000000-0005-0000-0000-000086000000}"/>
    <cellStyle name="Standard_Fueltypes" xfId="101" xr:uid="{00000000-0005-0000-0000-000087000000}"/>
    <cellStyle name="Subtotal" xfId="145" xr:uid="{00000000-0005-0000-0000-000088000000}"/>
    <cellStyle name="Title 2" xfId="102" xr:uid="{00000000-0005-0000-0000-000089000000}"/>
    <cellStyle name="Total 2" xfId="103" xr:uid="{00000000-0005-0000-0000-00008A000000}"/>
    <cellStyle name="Valuta_PERSONAL" xfId="146" xr:uid="{00000000-0005-0000-0000-00008B000000}"/>
    <cellStyle name="Warning Text 2" xfId="104" xr:uid="{00000000-0005-0000-0000-00008C000000}"/>
    <cellStyle name="Year" xfId="105" xr:uid="{00000000-0005-0000-0000-00008D000000}"/>
    <cellStyle name="เครื่องหมายจุลภาค 2" xfId="106" xr:uid="{00000000-0005-0000-0000-00008E000000}"/>
    <cellStyle name="เครื่องหมายจุลภาค 2 2" xfId="147" xr:uid="{00000000-0005-0000-0000-00008F000000}"/>
    <cellStyle name="เครื่องหมายจุลภาค 3" xfId="107" xr:uid="{00000000-0005-0000-0000-000090000000}"/>
    <cellStyle name="เครื่องหมายจุลภาค 3 2" xfId="148" xr:uid="{00000000-0005-0000-0000-000091000000}"/>
    <cellStyle name="เครื่องหมายจุลภาค 3 2 2" xfId="149" xr:uid="{00000000-0005-0000-0000-000092000000}"/>
    <cellStyle name="เครื่องหมายจุลภาค 3 2 2 2" xfId="150" xr:uid="{00000000-0005-0000-0000-000093000000}"/>
    <cellStyle name="เครื่องหมายจุลภาค 4" xfId="108" xr:uid="{00000000-0005-0000-0000-000094000000}"/>
    <cellStyle name="เครื่องหมายจุลภาค 5" xfId="109" xr:uid="{00000000-0005-0000-0000-000095000000}"/>
    <cellStyle name="เปอร์เซ็นต์ 2" xfId="151" xr:uid="{00000000-0005-0000-0000-0000A7000000}"/>
    <cellStyle name="เปอร์เซ็นต์ 2 2" xfId="152" xr:uid="{00000000-0005-0000-0000-0000A8000000}"/>
    <cellStyle name="เปอร์เซ็นต์ 2 3" xfId="153" xr:uid="{00000000-0005-0000-0000-0000A9000000}"/>
    <cellStyle name="เปอร์เซ็นต์ 2 3 2" xfId="154" xr:uid="{00000000-0005-0000-0000-0000AA000000}"/>
    <cellStyle name="เปอร์เซ็นต์ 2 3 2 2" xfId="155" xr:uid="{00000000-0005-0000-0000-0000AB000000}"/>
    <cellStyle name="เปอร์เซ็นต์ 2 4" xfId="195" xr:uid="{60C6F3FE-B656-463B-AAAF-AE985D9906B0}"/>
    <cellStyle name="เปอร์เซ็นต์ 3" xfId="156" xr:uid="{00000000-0005-0000-0000-0000AC000000}"/>
    <cellStyle name="เปอร์เซ็นต์ 3 2" xfId="201" xr:uid="{7F2C23B8-7DC3-428A-9C70-F77B7B4C1963}"/>
    <cellStyle name="จุลภาค 2" xfId="188" xr:uid="{3FC1EDBB-90AD-421E-8982-9EA44129CC0F}"/>
    <cellStyle name="จุลภาค 3" xfId="197" xr:uid="{2A4A5121-5735-45E3-8F44-A6768F33E81B}"/>
    <cellStyle name="จุลภาค 4" xfId="199" xr:uid="{FD92C81F-D859-444F-8366-F228798C21D4}"/>
    <cellStyle name="ปกติ 10" xfId="110" xr:uid="{00000000-0005-0000-0000-000096000000}"/>
    <cellStyle name="ปกติ 11" xfId="111" xr:uid="{00000000-0005-0000-0000-000097000000}"/>
    <cellStyle name="ปกติ 12" xfId="112" xr:uid="{00000000-0005-0000-0000-000098000000}"/>
    <cellStyle name="ปกติ 13" xfId="113" xr:uid="{00000000-0005-0000-0000-000099000000}"/>
    <cellStyle name="ปกติ 2" xfId="114" xr:uid="{00000000-0005-0000-0000-00009A000000}"/>
    <cellStyle name="ปกติ 2 2" xfId="115" xr:uid="{00000000-0005-0000-0000-00009B000000}"/>
    <cellStyle name="ปกติ 3" xfId="116" xr:uid="{00000000-0005-0000-0000-00009C000000}"/>
    <cellStyle name="ปกติ 4" xfId="117" xr:uid="{00000000-0005-0000-0000-00009D000000}"/>
    <cellStyle name="ปกติ 4 2" xfId="200" xr:uid="{388C4540-198E-4A84-89F2-3F3461D62A14}"/>
    <cellStyle name="ปกติ 4 3" xfId="196" xr:uid="{6CBF8416-004B-4CE3-AC42-B97B551124DF}"/>
    <cellStyle name="ปกติ 5" xfId="118" xr:uid="{00000000-0005-0000-0000-00009E000000}"/>
    <cellStyle name="ปกติ 5 2" xfId="157" xr:uid="{00000000-0005-0000-0000-00009F000000}"/>
    <cellStyle name="ปกติ 5 2 2" xfId="158" xr:uid="{00000000-0005-0000-0000-0000A0000000}"/>
    <cellStyle name="ปกติ 5 2 2 2" xfId="159" xr:uid="{00000000-0005-0000-0000-0000A1000000}"/>
    <cellStyle name="ปกติ 5 3" xfId="198" xr:uid="{90383CB8-B7EE-457A-89D4-EDD26D67F679}"/>
    <cellStyle name="ปกติ 6" xfId="119" xr:uid="{00000000-0005-0000-0000-0000A2000000}"/>
    <cellStyle name="ปกติ 7" xfId="120" xr:uid="{00000000-0005-0000-0000-0000A3000000}"/>
    <cellStyle name="ปกติ 8" xfId="121" xr:uid="{00000000-0005-0000-0000-0000A4000000}"/>
    <cellStyle name="ปกติ 9" xfId="122" xr:uid="{00000000-0005-0000-0000-0000A5000000}"/>
    <cellStyle name="ป้อนค่า" xfId="123" xr:uid="{00000000-0005-0000-0000-0000A6000000}"/>
    <cellStyle name="桁区切り [0.00]_Person" xfId="124" xr:uid="{00000000-0005-0000-0000-0000AD000000}"/>
    <cellStyle name="桁区切り_Person" xfId="125" xr:uid="{00000000-0005-0000-0000-0000AE000000}"/>
    <cellStyle name="標準_Book2 グラフ 2" xfId="126" xr:uid="{00000000-0005-0000-0000-0000AF000000}"/>
    <cellStyle name="通貨 [0.00]_Book2 グラフ 2" xfId="127" xr:uid="{00000000-0005-0000-0000-0000B0000000}"/>
    <cellStyle name="通貨_Book2 グラフ 2" xfId="128" xr:uid="{00000000-0005-0000-0000-0000B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anabadee Bunwong" id="{C6B5951A-BCAB-4307-94E7-7CA20A5CE8F5}" userId="S::thanabadee@thaitex.com::38cab462-a14a-4ea1-b4b0-8a4f82f66f0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8" dT="2024-12-13T02:01:07.99" personId="{C6B5951A-BCAB-4307-94E7-7CA20A5CE8F5}" id="{40C5AAD4-A14B-4AC2-A3CB-22F44EBB06D3}">
    <text>แปลงหน่วยเป็น kg</text>
  </threadedComment>
  <threadedComment ref="S50" dT="2024-12-13T02:01:07.99" personId="{C6B5951A-BCAB-4307-94E7-7CA20A5CE8F5}" id="{5F24384A-7013-4DE7-9127-BA14B73B7BBE}">
    <text>แปลงหน่วยเป็น kg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57"/>
  <sheetViews>
    <sheetView workbookViewId="0">
      <selection activeCell="G11" sqref="G11"/>
    </sheetView>
  </sheetViews>
  <sheetFormatPr defaultColWidth="9.109375" defaultRowHeight="14.4"/>
  <cols>
    <col min="1" max="1" width="6.33203125" style="3" customWidth="1"/>
    <col min="2" max="2" width="34.44140625" style="3" customWidth="1"/>
    <col min="3" max="3" width="8" style="3" customWidth="1"/>
    <col min="4" max="7" width="14.33203125" style="3" customWidth="1"/>
    <col min="8" max="8" width="50.88671875" style="3" customWidth="1"/>
    <col min="9" max="13" width="9.109375" style="3"/>
    <col min="14" max="14" width="9.109375" style="3" customWidth="1"/>
    <col min="15" max="15" width="9.109375" style="3"/>
    <col min="16" max="16" width="63.6640625" style="3" bestFit="1" customWidth="1"/>
    <col min="17" max="17" width="6.109375" style="3" bestFit="1" customWidth="1"/>
    <col min="18" max="18" width="30.109375" style="3" customWidth="1"/>
    <col min="19" max="16384" width="9.109375" style="3"/>
  </cols>
  <sheetData>
    <row r="2" spans="1:15" ht="15.6">
      <c r="A2" s="327"/>
      <c r="B2" s="324" t="s">
        <v>79</v>
      </c>
      <c r="C2" s="327" t="s">
        <v>80</v>
      </c>
      <c r="D2" s="328" t="s">
        <v>81</v>
      </c>
      <c r="E2" s="329"/>
      <c r="F2" s="329"/>
      <c r="G2" s="329"/>
      <c r="H2" s="324" t="s">
        <v>82</v>
      </c>
      <c r="J2" s="325" t="s">
        <v>83</v>
      </c>
      <c r="K2" s="334"/>
      <c r="L2" s="326"/>
    </row>
    <row r="3" spans="1:15" ht="15.6">
      <c r="A3" s="327"/>
      <c r="B3" s="324"/>
      <c r="C3" s="327"/>
      <c r="D3" s="21" t="s">
        <v>84</v>
      </c>
      <c r="E3" s="21" t="s">
        <v>140</v>
      </c>
      <c r="F3" s="21" t="s">
        <v>85</v>
      </c>
      <c r="G3" s="21" t="s">
        <v>86</v>
      </c>
      <c r="H3" s="324"/>
      <c r="J3" s="1" t="s">
        <v>31</v>
      </c>
      <c r="K3" s="2" t="s">
        <v>141</v>
      </c>
      <c r="L3" s="2" t="s">
        <v>45</v>
      </c>
    </row>
    <row r="4" spans="1:15" ht="15.6">
      <c r="A4" s="327"/>
      <c r="B4" s="324"/>
      <c r="C4" s="327"/>
      <c r="D4" s="21" t="s">
        <v>87</v>
      </c>
      <c r="E4" s="21" t="s">
        <v>88</v>
      </c>
      <c r="F4" s="21" t="s">
        <v>89</v>
      </c>
      <c r="G4" s="21" t="s">
        <v>90</v>
      </c>
      <c r="H4" s="324"/>
      <c r="J4" s="1" t="s">
        <v>54</v>
      </c>
      <c r="K4" s="1">
        <v>1</v>
      </c>
      <c r="L4" s="1">
        <v>1</v>
      </c>
    </row>
    <row r="5" spans="1:15">
      <c r="A5" s="22" t="s">
        <v>91</v>
      </c>
      <c r="C5" s="23"/>
      <c r="D5" s="23"/>
      <c r="E5" s="23"/>
      <c r="F5" s="23"/>
      <c r="G5" s="23"/>
      <c r="H5" s="4"/>
      <c r="J5" s="1" t="s">
        <v>63</v>
      </c>
      <c r="K5" s="1">
        <v>25</v>
      </c>
      <c r="L5" s="1">
        <v>28</v>
      </c>
    </row>
    <row r="6" spans="1:15">
      <c r="A6" s="5"/>
      <c r="B6" s="6" t="s">
        <v>92</v>
      </c>
      <c r="C6" s="5" t="s">
        <v>93</v>
      </c>
      <c r="D6" s="24">
        <f>D48*$G$48*10^-6</f>
        <v>5.7221999999999995E-2</v>
      </c>
      <c r="E6" s="24">
        <f>E48*$G$48*10^-6</f>
        <v>1.02E-6</v>
      </c>
      <c r="F6" s="24">
        <f>F48*$G$48*10^-6</f>
        <v>1.02E-7</v>
      </c>
      <c r="G6" s="25">
        <f>D6+(E6*$K$5)+(F6*$K$6)</f>
        <v>5.7277895999999995E-2</v>
      </c>
      <c r="H6" s="7" t="s">
        <v>94</v>
      </c>
      <c r="I6" s="32"/>
      <c r="J6" s="1" t="s">
        <v>64</v>
      </c>
      <c r="K6" s="1">
        <v>298</v>
      </c>
      <c r="L6" s="1">
        <v>265</v>
      </c>
      <c r="N6" s="33"/>
      <c r="O6" s="33"/>
    </row>
    <row r="7" spans="1:15">
      <c r="A7" s="5"/>
      <c r="B7" s="6" t="s">
        <v>92</v>
      </c>
      <c r="C7" s="5" t="s">
        <v>95</v>
      </c>
      <c r="D7" s="24">
        <f>D48/1000000</f>
        <v>5.6099999999999997E-2</v>
      </c>
      <c r="E7" s="24">
        <f>E48/1000000</f>
        <v>9.9999999999999995E-7</v>
      </c>
      <c r="F7" s="24">
        <f>F48/1000000</f>
        <v>1.0000000000000001E-7</v>
      </c>
      <c r="G7" s="25">
        <f t="shared" ref="G7:G17" si="0">D7+(E7*$K$5)+(F7*$K$6)</f>
        <v>5.6154799999999998E-2</v>
      </c>
      <c r="H7" s="7" t="s">
        <v>94</v>
      </c>
      <c r="I7" s="32"/>
      <c r="J7" s="1" t="s">
        <v>65</v>
      </c>
      <c r="K7" s="1">
        <v>22800</v>
      </c>
      <c r="L7" s="1">
        <v>23500</v>
      </c>
      <c r="N7" s="33"/>
      <c r="O7" s="33"/>
    </row>
    <row r="8" spans="1:15">
      <c r="A8" s="5"/>
      <c r="B8" s="6" t="s">
        <v>96</v>
      </c>
      <c r="C8" s="5" t="s">
        <v>77</v>
      </c>
      <c r="D8" s="24">
        <f>D49*$G$49*10^-6</f>
        <v>1.0574699999999999</v>
      </c>
      <c r="E8" s="24">
        <f>E49*$G$49*10^-6</f>
        <v>1.047E-5</v>
      </c>
      <c r="F8" s="24">
        <f>F49*$G$49*10^-6</f>
        <v>1.5705E-5</v>
      </c>
      <c r="G8" s="25">
        <f>D8+(E8*$K$5)+(F8*$K$6)</f>
        <v>1.0624118399999998</v>
      </c>
      <c r="H8" s="7" t="s">
        <v>94</v>
      </c>
      <c r="I8" s="32"/>
      <c r="J8" s="1" t="s">
        <v>66</v>
      </c>
      <c r="K8" s="1">
        <v>17200</v>
      </c>
      <c r="L8" s="1">
        <v>16100</v>
      </c>
      <c r="N8" s="33"/>
      <c r="O8" s="33"/>
    </row>
    <row r="9" spans="1:15">
      <c r="A9" s="5"/>
      <c r="B9" s="6" t="s">
        <v>97</v>
      </c>
      <c r="C9" s="5" t="s">
        <v>98</v>
      </c>
      <c r="D9" s="24">
        <f>D50*$G$50*10^-6</f>
        <v>3.2096984443713019</v>
      </c>
      <c r="E9" s="24">
        <f>E50*$G$50*10^-6</f>
        <v>1.2440691644850007E-4</v>
      </c>
      <c r="F9" s="24">
        <f>F50*$G$50*10^-6</f>
        <v>2.4881383289700012E-5</v>
      </c>
      <c r="G9" s="25">
        <f>D9+(E9*$K$5)+(F9*$K$6)</f>
        <v>3.2202232695028448</v>
      </c>
      <c r="H9" s="7" t="s">
        <v>99</v>
      </c>
      <c r="I9" s="32"/>
      <c r="J9" s="3" t="s">
        <v>101</v>
      </c>
      <c r="N9" s="33"/>
      <c r="O9" s="33"/>
    </row>
    <row r="10" spans="1:15">
      <c r="A10" s="5"/>
      <c r="B10" s="6" t="s">
        <v>100</v>
      </c>
      <c r="C10" s="5" t="s">
        <v>98</v>
      </c>
      <c r="D10" s="24">
        <f>D51*$G$51*10^-6</f>
        <v>3.2353401009425418</v>
      </c>
      <c r="E10" s="24">
        <f>E51*$G$51*10^-6</f>
        <v>1.2540077910630005E-4</v>
      </c>
      <c r="F10" s="24">
        <f>F51*$G$51*10^-6</f>
        <v>2.5080155821260009E-5</v>
      </c>
      <c r="G10" s="25">
        <f>D10+(E10*$K$5)+(F10*$K$6)</f>
        <v>3.2459490068549348</v>
      </c>
      <c r="H10" s="7" t="s">
        <v>99</v>
      </c>
      <c r="I10" s="32"/>
      <c r="N10" s="33"/>
      <c r="O10" s="33"/>
    </row>
    <row r="11" spans="1:15">
      <c r="A11" s="5"/>
      <c r="B11" s="6" t="s">
        <v>102</v>
      </c>
      <c r="C11" s="5" t="s">
        <v>98</v>
      </c>
      <c r="D11" s="24">
        <f>D52*$G$52*10^-6</f>
        <v>2.6987220000000001</v>
      </c>
      <c r="E11" s="24">
        <f>E52*$G$52*10^-6</f>
        <v>1.0925999999999999E-4</v>
      </c>
      <c r="F11" s="24">
        <f>F52*$G$52*10^-6</f>
        <v>2.1852E-5</v>
      </c>
      <c r="G11" s="25">
        <f>D11+(E11*$K$5)+(F11*$K$6)</f>
        <v>2.7079653960000001</v>
      </c>
      <c r="H11" s="7" t="s">
        <v>94</v>
      </c>
      <c r="I11" s="32"/>
      <c r="N11" s="33"/>
      <c r="O11" s="33"/>
    </row>
    <row r="12" spans="1:15">
      <c r="A12" s="5"/>
      <c r="B12" s="6" t="s">
        <v>103</v>
      </c>
      <c r="C12" s="5" t="s">
        <v>77</v>
      </c>
      <c r="D12" s="24">
        <f>D53*$G$53*10^-6</f>
        <v>3.0866199999999999</v>
      </c>
      <c r="E12" s="24">
        <f>E53*$G$53*10^-6</f>
        <v>3.1399999999999998E-5</v>
      </c>
      <c r="F12" s="24">
        <f>F53*$G$53*10^-6</f>
        <v>4.7099999999999993E-5</v>
      </c>
      <c r="G12" s="25">
        <f t="shared" si="0"/>
        <v>3.1014407999999998</v>
      </c>
      <c r="H12" s="7" t="s">
        <v>94</v>
      </c>
      <c r="I12" s="32"/>
      <c r="N12" s="33"/>
      <c r="O12" s="33"/>
    </row>
    <row r="13" spans="1:15">
      <c r="A13" s="5"/>
      <c r="B13" s="6" t="s">
        <v>104</v>
      </c>
      <c r="C13" s="5" t="s">
        <v>77</v>
      </c>
      <c r="D13" s="24">
        <f>D54*$G$54*10^-6</f>
        <v>2.534157</v>
      </c>
      <c r="E13" s="24">
        <f>E54*$G$54*10^-6</f>
        <v>2.637E-5</v>
      </c>
      <c r="F13" s="24">
        <f>F54*$G$54*10^-6</f>
        <v>3.9554999999999997E-5</v>
      </c>
      <c r="G13" s="25">
        <f t="shared" si="0"/>
        <v>2.5466036399999998</v>
      </c>
      <c r="H13" s="7" t="s">
        <v>94</v>
      </c>
      <c r="I13" s="32"/>
      <c r="N13" s="33"/>
      <c r="O13" s="33"/>
    </row>
    <row r="14" spans="1:15">
      <c r="A14" s="5"/>
      <c r="B14" s="6" t="s">
        <v>105</v>
      </c>
      <c r="C14" s="5" t="s">
        <v>98</v>
      </c>
      <c r="D14" s="24">
        <f>D55*$G$55*10^-6</f>
        <v>2.4688949999999998</v>
      </c>
      <c r="E14" s="24">
        <f>E55*$G$55*10^-6</f>
        <v>1.0359E-4</v>
      </c>
      <c r="F14" s="24">
        <f>F55*$G$55*10^-6</f>
        <v>2.0718000000000001E-5</v>
      </c>
      <c r="G14" s="25">
        <f t="shared" si="0"/>
        <v>2.4776587139999995</v>
      </c>
      <c r="H14" s="7" t="s">
        <v>94</v>
      </c>
      <c r="I14" s="32"/>
      <c r="N14" s="33"/>
      <c r="O14" s="33"/>
    </row>
    <row r="15" spans="1:15">
      <c r="A15" s="5"/>
      <c r="B15" s="6" t="s">
        <v>78</v>
      </c>
      <c r="C15" s="5" t="s">
        <v>98</v>
      </c>
      <c r="D15" s="24">
        <f>D56*$G$56*10^-6</f>
        <v>1.6797219999999999</v>
      </c>
      <c r="E15" s="24">
        <f>E56*$G$56*10^-6</f>
        <v>2.6619999999999999E-5</v>
      </c>
      <c r="F15" s="24">
        <f>F56*$G$56*10^-6</f>
        <v>2.6620000000000001E-6</v>
      </c>
      <c r="G15" s="25">
        <f t="shared" si="0"/>
        <v>1.6811807759999999</v>
      </c>
      <c r="H15" s="7" t="s">
        <v>94</v>
      </c>
      <c r="I15" s="32"/>
      <c r="N15" s="33"/>
      <c r="O15" s="33"/>
    </row>
    <row r="16" spans="1:15">
      <c r="A16" s="22"/>
      <c r="B16" s="6" t="s">
        <v>78</v>
      </c>
      <c r="C16" s="5" t="s">
        <v>77</v>
      </c>
      <c r="D16" s="24">
        <f>D15/0.54</f>
        <v>3.1105962962962961</v>
      </c>
      <c r="E16" s="24">
        <f>E15/0.54</f>
        <v>4.9296296296296292E-5</v>
      </c>
      <c r="F16" s="24">
        <f>F15/0.54</f>
        <v>4.9296296296296292E-6</v>
      </c>
      <c r="G16" s="25">
        <f t="shared" si="0"/>
        <v>3.1132977333333329</v>
      </c>
      <c r="H16" s="7" t="s">
        <v>106</v>
      </c>
      <c r="I16" s="32"/>
      <c r="N16" s="33"/>
      <c r="O16" s="33"/>
    </row>
    <row r="17" spans="1:15">
      <c r="A17" s="22"/>
      <c r="B17" s="6" t="s">
        <v>107</v>
      </c>
      <c r="C17" s="5" t="s">
        <v>98</v>
      </c>
      <c r="D17" s="24">
        <f>D57*$G$57*10^-6</f>
        <v>2.1815639999999998</v>
      </c>
      <c r="E17" s="24">
        <f>E57*$G$57*10^-6</f>
        <v>9.4439999999999997E-5</v>
      </c>
      <c r="F17" s="24">
        <f>F57*$G$57*10^-6</f>
        <v>1.8887999999999996E-5</v>
      </c>
      <c r="G17" s="25">
        <f t="shared" si="0"/>
        <v>2.1895536239999998</v>
      </c>
      <c r="H17" s="7" t="s">
        <v>94</v>
      </c>
      <c r="I17" s="32"/>
      <c r="N17" s="33"/>
      <c r="O17" s="33"/>
    </row>
    <row r="18" spans="1:15">
      <c r="A18" s="22"/>
      <c r="B18" s="6"/>
      <c r="C18" s="5"/>
      <c r="D18" s="24"/>
      <c r="E18" s="24"/>
      <c r="F18" s="24"/>
      <c r="G18" s="25"/>
      <c r="H18" s="7"/>
      <c r="I18" s="32"/>
      <c r="N18" s="33"/>
      <c r="O18" s="33"/>
    </row>
    <row r="19" spans="1:15">
      <c r="A19" s="22" t="s">
        <v>108</v>
      </c>
      <c r="B19" s="6"/>
      <c r="C19" s="5"/>
      <c r="D19" s="24"/>
      <c r="E19" s="24"/>
      <c r="F19" s="24"/>
      <c r="G19" s="25"/>
      <c r="H19" s="7"/>
      <c r="I19" s="32"/>
      <c r="N19" s="33"/>
      <c r="O19" s="33"/>
    </row>
    <row r="20" spans="1:15">
      <c r="A20" s="22"/>
      <c r="B20" s="6" t="s">
        <v>109</v>
      </c>
      <c r="C20" s="8" t="s">
        <v>98</v>
      </c>
      <c r="D20" s="24">
        <f>D63*$G$63*10^-6</f>
        <v>2.1815639999999998</v>
      </c>
      <c r="E20" s="24">
        <f>E63*$G$63*10^-6</f>
        <v>1.0388399999999999E-3</v>
      </c>
      <c r="F20" s="24">
        <f>F63*$G$63*10^-6</f>
        <v>1.0073600000000001E-4</v>
      </c>
      <c r="G20" s="25">
        <f t="shared" ref="G20:G26" si="1">D20+(E20*$K$5)+(F20*$K$6)</f>
        <v>2.2375543279999999</v>
      </c>
      <c r="H20" s="7" t="s">
        <v>110</v>
      </c>
      <c r="I20" s="32"/>
      <c r="N20" s="33"/>
      <c r="O20" s="33"/>
    </row>
    <row r="21" spans="1:15">
      <c r="A21" s="22"/>
      <c r="B21" s="6" t="s">
        <v>111</v>
      </c>
      <c r="C21" s="8" t="s">
        <v>98</v>
      </c>
      <c r="D21" s="24">
        <f>D64*$G$64*10^-6</f>
        <v>2.1815639999999998</v>
      </c>
      <c r="E21" s="24">
        <f>E64*$G$64*10^-6</f>
        <v>7.8699999999999994E-4</v>
      </c>
      <c r="F21" s="24">
        <f>F64*$G$64*10^-6</f>
        <v>2.5183999999999997E-4</v>
      </c>
      <c r="G21" s="25">
        <f t="shared" si="1"/>
        <v>2.2762873199999998</v>
      </c>
      <c r="H21" s="7" t="s">
        <v>110</v>
      </c>
      <c r="I21" s="32"/>
      <c r="N21" s="33"/>
      <c r="O21" s="33"/>
    </row>
    <row r="22" spans="1:15">
      <c r="A22" s="22"/>
      <c r="B22" s="6" t="s">
        <v>112</v>
      </c>
      <c r="C22" s="8" t="s">
        <v>98</v>
      </c>
      <c r="D22" s="24">
        <f>D65*$G$65*10^-6</f>
        <v>2.1815639999999998</v>
      </c>
      <c r="E22" s="24">
        <f>E65*$G$65*10^-6</f>
        <v>1.1962399999999999E-4</v>
      </c>
      <c r="F22" s="24">
        <f>F65*$G$65*10^-6</f>
        <v>1.7943599999999999E-4</v>
      </c>
      <c r="G22" s="25">
        <f t="shared" si="1"/>
        <v>2.2380265279999998</v>
      </c>
      <c r="H22" s="7" t="s">
        <v>110</v>
      </c>
      <c r="I22" s="32"/>
      <c r="N22" s="33"/>
      <c r="O22" s="33"/>
    </row>
    <row r="23" spans="1:15">
      <c r="A23" s="22"/>
      <c r="B23" s="6" t="s">
        <v>113</v>
      </c>
      <c r="C23" s="8" t="s">
        <v>98</v>
      </c>
      <c r="D23" s="24">
        <f>D66*$G$66*10^-6</f>
        <v>2.6987220000000001</v>
      </c>
      <c r="E23" s="24">
        <f>E66*$G$66*10^-6</f>
        <v>1.4203800000000001E-4</v>
      </c>
      <c r="F23" s="24">
        <f>F66*$G$66*10^-6</f>
        <v>1.4203800000000001E-4</v>
      </c>
      <c r="G23" s="25">
        <f t="shared" si="1"/>
        <v>2.7446002740000002</v>
      </c>
      <c r="H23" s="7" t="s">
        <v>110</v>
      </c>
      <c r="I23" s="32"/>
      <c r="N23" s="33"/>
      <c r="O23" s="33"/>
    </row>
    <row r="24" spans="1:15">
      <c r="A24" s="22"/>
      <c r="B24" s="6" t="s">
        <v>114</v>
      </c>
      <c r="C24" s="8" t="s">
        <v>77</v>
      </c>
      <c r="D24" s="24">
        <f>D67*$G$67*10^-6</f>
        <v>2.1261899999999998</v>
      </c>
      <c r="E24" s="24">
        <f>E67*$G$67*10^-6</f>
        <v>3.4867999999999995E-3</v>
      </c>
      <c r="F24" s="24">
        <f>F67*$G$67*10^-6</f>
        <v>1.1369999999999999E-4</v>
      </c>
      <c r="G24" s="25">
        <f>D24+(E24*$K$5)+(F24*$K$6)</f>
        <v>2.2472425999999999</v>
      </c>
      <c r="H24" s="7" t="s">
        <v>115</v>
      </c>
      <c r="I24" s="32"/>
      <c r="N24" s="33"/>
      <c r="O24" s="33"/>
    </row>
    <row r="25" spans="1:15">
      <c r="A25" s="22"/>
      <c r="B25" s="6" t="s">
        <v>116</v>
      </c>
      <c r="C25" s="8" t="s">
        <v>98</v>
      </c>
      <c r="D25" s="24">
        <f>D68*$G$68*10^-6</f>
        <v>1.6797219999999999</v>
      </c>
      <c r="E25" s="24">
        <f>E68*$G$68*10^-6</f>
        <v>1.65044E-3</v>
      </c>
      <c r="F25" s="24">
        <f>F68*$G$68*10^-6</f>
        <v>5.3240000000000002E-6</v>
      </c>
      <c r="G25" s="25">
        <f t="shared" si="1"/>
        <v>1.7225695519999999</v>
      </c>
      <c r="H25" s="7" t="s">
        <v>110</v>
      </c>
      <c r="I25" s="32"/>
      <c r="N25" s="33"/>
      <c r="O25" s="33"/>
    </row>
    <row r="26" spans="1:15">
      <c r="A26" s="22"/>
      <c r="B26" s="6" t="s">
        <v>116</v>
      </c>
      <c r="C26" s="5" t="s">
        <v>77</v>
      </c>
      <c r="D26" s="24">
        <f>D25/0.54</f>
        <v>3.1105962962962961</v>
      </c>
      <c r="E26" s="24">
        <f>E25/0.54</f>
        <v>3.0563703703703703E-3</v>
      </c>
      <c r="F26" s="24">
        <f>F25/0.54</f>
        <v>9.8592592592592585E-6</v>
      </c>
      <c r="G26" s="25">
        <f t="shared" si="1"/>
        <v>3.1899436148148146</v>
      </c>
      <c r="H26" s="7" t="s">
        <v>117</v>
      </c>
      <c r="I26" s="32"/>
      <c r="N26" s="33"/>
      <c r="O26" s="33"/>
    </row>
    <row r="27" spans="1:15">
      <c r="A27" s="22" t="s">
        <v>118</v>
      </c>
      <c r="B27" s="6"/>
      <c r="C27" s="5"/>
      <c r="D27" s="24"/>
      <c r="E27" s="24"/>
      <c r="F27" s="24"/>
      <c r="G27" s="25"/>
      <c r="H27" s="7"/>
      <c r="I27" s="32"/>
      <c r="N27" s="33"/>
      <c r="O27" s="33"/>
    </row>
    <row r="28" spans="1:15">
      <c r="A28" s="22"/>
      <c r="B28" s="9" t="s">
        <v>119</v>
      </c>
      <c r="C28" s="8"/>
      <c r="D28" s="24"/>
      <c r="E28" s="24"/>
      <c r="F28" s="24"/>
      <c r="G28" s="25"/>
      <c r="H28" s="7"/>
      <c r="I28" s="32"/>
      <c r="N28" s="33"/>
      <c r="O28" s="33"/>
    </row>
    <row r="29" spans="1:15">
      <c r="A29" s="22"/>
      <c r="B29" s="10" t="s">
        <v>120</v>
      </c>
      <c r="C29" s="8" t="s">
        <v>98</v>
      </c>
      <c r="D29" s="24">
        <f>D75*$G$75/(10^6)</f>
        <v>2.6987220000000001</v>
      </c>
      <c r="E29" s="24">
        <f>E75*$G$75/(10^6)</f>
        <v>1.5114300000000004E-4</v>
      </c>
      <c r="F29" s="24">
        <f>F75*$G$75/(10^6)</f>
        <v>1.0416120000000001E-3</v>
      </c>
      <c r="G29" s="25">
        <f>D29+(E29*$K$5)+(F29*$K$6)</f>
        <v>3.0129009510000002</v>
      </c>
      <c r="H29" s="7" t="s">
        <v>121</v>
      </c>
      <c r="I29" s="32"/>
      <c r="N29" s="33"/>
      <c r="O29" s="33"/>
    </row>
    <row r="30" spans="1:15">
      <c r="A30" s="22"/>
      <c r="B30" s="10" t="s">
        <v>122</v>
      </c>
      <c r="C30" s="8" t="s">
        <v>98</v>
      </c>
      <c r="D30" s="24">
        <f>D76*$G$76/(10^6)</f>
        <v>2.6987220000000001</v>
      </c>
      <c r="E30" s="24">
        <f>E76*$G$76/(10^6)</f>
        <v>1.5114300000000004E-4</v>
      </c>
      <c r="F30" s="24">
        <f>F76*$G$76/(10^6)</f>
        <v>1.0416120000000001E-3</v>
      </c>
      <c r="G30" s="25">
        <f>D30+(E30*$K$5)+(F30*$K$6)</f>
        <v>3.0129009510000002</v>
      </c>
      <c r="H30" s="7" t="s">
        <v>121</v>
      </c>
      <c r="I30" s="32"/>
      <c r="N30" s="33"/>
      <c r="O30" s="33"/>
    </row>
    <row r="31" spans="1:15">
      <c r="A31" s="22"/>
      <c r="B31" s="10" t="s">
        <v>123</v>
      </c>
      <c r="C31" s="8" t="s">
        <v>98</v>
      </c>
      <c r="D31" s="24">
        <f>D77*$G$77/(10^6)</f>
        <v>2.6987220000000001</v>
      </c>
      <c r="E31" s="24">
        <f>E77*$G$77/(10^6)</f>
        <v>1.5114300000000004E-4</v>
      </c>
      <c r="F31" s="24">
        <f>F77*$G$77/(10^6)</f>
        <v>1.0416120000000001E-3</v>
      </c>
      <c r="G31" s="25">
        <f>D31+(E31*$K$5)+(F31*$K$6)</f>
        <v>3.0129009510000002</v>
      </c>
      <c r="H31" s="7" t="s">
        <v>121</v>
      </c>
      <c r="I31" s="32"/>
      <c r="N31" s="33"/>
      <c r="O31" s="33"/>
    </row>
    <row r="32" spans="1:15">
      <c r="A32" s="22"/>
      <c r="B32" s="10" t="s">
        <v>124</v>
      </c>
      <c r="C32" s="8" t="s">
        <v>98</v>
      </c>
      <c r="D32" s="24">
        <f>D78*$G$78/(10^6)</f>
        <v>2.6987220000000001</v>
      </c>
      <c r="E32" s="24">
        <f>E78*$G$78/(10^6)</f>
        <v>1.5114300000000004E-4</v>
      </c>
      <c r="F32" s="24">
        <f>F78*$G$78/(10^6)</f>
        <v>1.0416120000000001E-3</v>
      </c>
      <c r="G32" s="25">
        <f>D32+(E32*$K$5)+(F32*$K$6)</f>
        <v>3.0129009510000002</v>
      </c>
      <c r="H32" s="7" t="s">
        <v>121</v>
      </c>
      <c r="I32" s="32"/>
      <c r="N32" s="33"/>
      <c r="O32" s="33"/>
    </row>
    <row r="33" spans="1:15">
      <c r="A33" s="22"/>
      <c r="B33" s="9" t="s">
        <v>125</v>
      </c>
      <c r="C33" s="8"/>
      <c r="D33" s="24"/>
      <c r="E33" s="24"/>
      <c r="F33" s="24"/>
      <c r="G33" s="25"/>
      <c r="H33" s="7"/>
      <c r="I33" s="32"/>
      <c r="N33" s="33"/>
      <c r="O33" s="33"/>
    </row>
    <row r="34" spans="1:15">
      <c r="A34" s="22"/>
      <c r="B34" s="10" t="s">
        <v>120</v>
      </c>
      <c r="C34" s="8" t="s">
        <v>98</v>
      </c>
      <c r="D34" s="24">
        <f>D80*$G$80/(10^6)</f>
        <v>2.1815639999999998</v>
      </c>
      <c r="E34" s="24">
        <f>E80*$G$80/(10^6)</f>
        <v>2.5184000000000001E-3</v>
      </c>
      <c r="F34" s="24">
        <f>F80*$G$80/(10^6)</f>
        <v>6.2960000000000007E-5</v>
      </c>
      <c r="G34" s="25">
        <f>D34+(E34*$K$5)+(F34*$K$6)</f>
        <v>2.2632860799999999</v>
      </c>
      <c r="H34" s="7" t="s">
        <v>121</v>
      </c>
      <c r="I34" s="32"/>
      <c r="N34" s="33"/>
      <c r="O34" s="33"/>
    </row>
    <row r="35" spans="1:15">
      <c r="A35" s="4"/>
      <c r="B35" s="10" t="s">
        <v>122</v>
      </c>
      <c r="C35" s="8" t="s">
        <v>98</v>
      </c>
      <c r="D35" s="24">
        <f>D81*$G$81/(10^6)</f>
        <v>2.1815639999999998</v>
      </c>
      <c r="E35" s="24">
        <f>E81*$G$81/(10^6)</f>
        <v>0</v>
      </c>
      <c r="F35" s="24">
        <f>F81*$G$81/(10^6)</f>
        <v>0</v>
      </c>
      <c r="G35" s="25">
        <f>D35+(E35*$K$5)+(F35*$K$6)</f>
        <v>2.1815639999999998</v>
      </c>
      <c r="H35" s="7" t="s">
        <v>121</v>
      </c>
      <c r="I35" s="32"/>
      <c r="N35" s="33"/>
      <c r="O35" s="33"/>
    </row>
    <row r="36" spans="1:15">
      <c r="A36" s="4"/>
      <c r="B36" s="10" t="s">
        <v>123</v>
      </c>
      <c r="C36" s="8" t="s">
        <v>98</v>
      </c>
      <c r="D36" s="24">
        <f>D82*$G$82/(10^6)</f>
        <v>2.1815639999999998</v>
      </c>
      <c r="E36" s="24">
        <f>E82*$G$82/(10^6)</f>
        <v>1.5740000000000001E-3</v>
      </c>
      <c r="F36" s="24">
        <f>F82*$G$82/(10^6)</f>
        <v>6.2960000000000007E-5</v>
      </c>
      <c r="G36" s="25">
        <f>D36+(E36*$K$5)+(F36*$K$6)</f>
        <v>2.2396760800000002</v>
      </c>
      <c r="H36" s="7" t="s">
        <v>121</v>
      </c>
      <c r="I36" s="32"/>
      <c r="N36" s="33"/>
      <c r="O36" s="33"/>
    </row>
    <row r="37" spans="1:15">
      <c r="A37" s="4"/>
      <c r="B37" s="10" t="s">
        <v>124</v>
      </c>
      <c r="C37" s="8" t="s">
        <v>98</v>
      </c>
      <c r="D37" s="24">
        <f>D83*$G$83/(10^6)</f>
        <v>2.1815639999999998</v>
      </c>
      <c r="E37" s="24">
        <f>E83*$G$83/(10^6)</f>
        <v>3.7775999999999999E-3</v>
      </c>
      <c r="F37" s="24">
        <f>F83*$G$83/(10^6)</f>
        <v>6.2960000000000007E-5</v>
      </c>
      <c r="G37" s="25">
        <f>D37+(E37*$K$5)+(F37*$K$6)</f>
        <v>2.29476608</v>
      </c>
      <c r="H37" s="7" t="s">
        <v>121</v>
      </c>
      <c r="I37" s="32"/>
      <c r="N37" s="33"/>
      <c r="O37" s="33"/>
    </row>
    <row r="38" spans="1:15">
      <c r="A38" s="22"/>
      <c r="B38" s="9" t="s">
        <v>126</v>
      </c>
      <c r="C38" s="8"/>
      <c r="D38" s="24"/>
      <c r="E38" s="24"/>
      <c r="F38" s="24"/>
      <c r="G38" s="25"/>
      <c r="H38" s="7"/>
      <c r="I38" s="32"/>
      <c r="N38" s="33"/>
      <c r="O38" s="33"/>
    </row>
    <row r="39" spans="1:15">
      <c r="A39" s="22"/>
      <c r="B39" s="10" t="s">
        <v>120</v>
      </c>
      <c r="C39" s="8" t="s">
        <v>98</v>
      </c>
      <c r="D39" s="24">
        <f>D85*$G$85/(10^6)</f>
        <v>2.1815639999999998</v>
      </c>
      <c r="E39" s="24">
        <f>E85*$G$85/(10^6)</f>
        <v>4.4072E-3</v>
      </c>
      <c r="F39" s="24">
        <f>F85*$G$85/(10^6)</f>
        <v>1.2592000000000001E-5</v>
      </c>
      <c r="G39" s="25">
        <f>D39+(E39*$K$5)+(F39*$K$6)</f>
        <v>2.2954964160000002</v>
      </c>
      <c r="H39" s="7" t="s">
        <v>121</v>
      </c>
      <c r="I39" s="32"/>
      <c r="N39" s="33"/>
      <c r="O39" s="33"/>
    </row>
    <row r="40" spans="1:15">
      <c r="A40" s="4"/>
      <c r="B40" s="10" t="s">
        <v>122</v>
      </c>
      <c r="C40" s="8" t="s">
        <v>98</v>
      </c>
      <c r="D40" s="24">
        <f>D86*$G$86/(10^6)</f>
        <v>2.1815639999999998</v>
      </c>
      <c r="E40" s="24">
        <f>E86*$G$86/(10^6)</f>
        <v>5.3516000000000006E-3</v>
      </c>
      <c r="F40" s="24">
        <f>F86*$G$86/(10^6)</f>
        <v>1.2592000000000001E-5</v>
      </c>
      <c r="G40" s="25">
        <f>D40+(E40*$K$5)+(F40*$K$6)</f>
        <v>2.3191064159999999</v>
      </c>
      <c r="H40" s="7" t="s">
        <v>121</v>
      </c>
      <c r="I40" s="32"/>
      <c r="N40" s="33"/>
      <c r="O40" s="33"/>
    </row>
    <row r="41" spans="1:15">
      <c r="A41" s="4"/>
      <c r="B41" s="10" t="s">
        <v>123</v>
      </c>
      <c r="C41" s="8" t="s">
        <v>98</v>
      </c>
      <c r="D41" s="24">
        <f>D87*$G$87/(10^6)</f>
        <v>2.1815639999999998</v>
      </c>
      <c r="E41" s="24">
        <f>E87*$G$87/(10^6)</f>
        <v>4.0924000000000004E-3</v>
      </c>
      <c r="F41" s="24">
        <f>F87*$G$87/(10^6)</f>
        <v>1.2592000000000001E-5</v>
      </c>
      <c r="G41" s="25">
        <f>D41+(E41*$K$5)+(F41*$K$6)</f>
        <v>2.2876264160000002</v>
      </c>
      <c r="H41" s="7" t="s">
        <v>121</v>
      </c>
      <c r="I41" s="32"/>
      <c r="N41" s="33"/>
      <c r="O41" s="33"/>
    </row>
    <row r="42" spans="1:15">
      <c r="A42" s="4"/>
      <c r="B42" s="10" t="s">
        <v>124</v>
      </c>
      <c r="C42" s="8" t="s">
        <v>98</v>
      </c>
      <c r="D42" s="24">
        <f>D88*$G$88/(10^6)</f>
        <v>2.1815639999999998</v>
      </c>
      <c r="E42" s="24">
        <f>E88*$G$88/(10^6)</f>
        <v>5.6663999999999994E-3</v>
      </c>
      <c r="F42" s="24">
        <f>F88*$G$88/(10^6)</f>
        <v>1.2592000000000001E-5</v>
      </c>
      <c r="G42" s="25">
        <f>D42+(E42*$K$5)+(F42*$K$6)</f>
        <v>2.3269764159999999</v>
      </c>
      <c r="H42" s="7" t="s">
        <v>121</v>
      </c>
      <c r="I42" s="32"/>
      <c r="N42" s="33"/>
      <c r="O42" s="33"/>
    </row>
    <row r="43" spans="1:15">
      <c r="B43" s="26"/>
      <c r="C43" s="26"/>
      <c r="D43" s="27"/>
      <c r="E43" s="27"/>
      <c r="F43" s="27"/>
      <c r="G43" s="13"/>
    </row>
    <row r="44" spans="1:15" s="12" customFormat="1">
      <c r="A44" s="11" t="s">
        <v>91</v>
      </c>
      <c r="B44" s="28"/>
      <c r="C44" s="28"/>
      <c r="D44" s="29"/>
      <c r="E44" s="30"/>
      <c r="F44" s="29"/>
      <c r="G44" s="31"/>
    </row>
    <row r="45" spans="1:15">
      <c r="D45" s="13"/>
      <c r="E45" s="14" t="s">
        <v>127</v>
      </c>
      <c r="F45" s="14"/>
      <c r="G45" s="14" t="s">
        <v>128</v>
      </c>
    </row>
    <row r="46" spans="1:15" ht="14.25" customHeight="1">
      <c r="B46" s="6"/>
      <c r="C46" s="5"/>
      <c r="D46" s="330" t="s">
        <v>129</v>
      </c>
      <c r="E46" s="330"/>
      <c r="F46" s="330"/>
      <c r="G46" s="15" t="s">
        <v>130</v>
      </c>
    </row>
    <row r="47" spans="1:15">
      <c r="B47" s="6"/>
      <c r="C47" s="5" t="s">
        <v>131</v>
      </c>
      <c r="D47" s="20" t="s">
        <v>54</v>
      </c>
      <c r="E47" s="5" t="s">
        <v>63</v>
      </c>
      <c r="F47" s="5" t="s">
        <v>64</v>
      </c>
      <c r="G47" s="15" t="s">
        <v>132</v>
      </c>
    </row>
    <row r="48" spans="1:15">
      <c r="B48" s="6" t="s">
        <v>92</v>
      </c>
      <c r="C48" s="5" t="s">
        <v>93</v>
      </c>
      <c r="D48" s="16">
        <v>56100</v>
      </c>
      <c r="E48" s="5">
        <v>1</v>
      </c>
      <c r="F48" s="5">
        <v>0.1</v>
      </c>
      <c r="G48" s="17">
        <v>1.02</v>
      </c>
      <c r="H48" s="3" t="s">
        <v>133</v>
      </c>
    </row>
    <row r="49" spans="1:8">
      <c r="B49" s="6" t="s">
        <v>96</v>
      </c>
      <c r="C49" s="5" t="s">
        <v>77</v>
      </c>
      <c r="D49" s="16">
        <v>101000</v>
      </c>
      <c r="E49" s="5">
        <v>1</v>
      </c>
      <c r="F49" s="5">
        <v>1.5</v>
      </c>
      <c r="G49" s="17">
        <v>10.47</v>
      </c>
    </row>
    <row r="50" spans="1:8">
      <c r="B50" s="6" t="s">
        <v>97</v>
      </c>
      <c r="C50" s="5" t="s">
        <v>98</v>
      </c>
      <c r="D50" s="16">
        <v>77400</v>
      </c>
      <c r="E50" s="5">
        <v>3</v>
      </c>
      <c r="F50" s="5">
        <v>0.6</v>
      </c>
      <c r="G50" s="34">
        <v>41.468972149500026</v>
      </c>
      <c r="H50" s="3" t="s">
        <v>134</v>
      </c>
    </row>
    <row r="51" spans="1:8">
      <c r="B51" s="6" t="s">
        <v>100</v>
      </c>
      <c r="C51" s="5" t="s">
        <v>98</v>
      </c>
      <c r="D51" s="16">
        <v>77400</v>
      </c>
      <c r="E51" s="5">
        <v>3</v>
      </c>
      <c r="F51" s="5">
        <v>0.6</v>
      </c>
      <c r="G51" s="34">
        <v>41.800259702100021</v>
      </c>
      <c r="H51" s="3" t="s">
        <v>134</v>
      </c>
    </row>
    <row r="52" spans="1:8">
      <c r="B52" s="6" t="s">
        <v>102</v>
      </c>
      <c r="C52" s="5" t="s">
        <v>98</v>
      </c>
      <c r="D52" s="16">
        <v>74100</v>
      </c>
      <c r="E52" s="5">
        <v>3</v>
      </c>
      <c r="F52" s="5">
        <v>0.6</v>
      </c>
      <c r="G52" s="17">
        <v>36.42</v>
      </c>
    </row>
    <row r="53" spans="1:8">
      <c r="B53" s="6" t="s">
        <v>103</v>
      </c>
      <c r="C53" s="5" t="s">
        <v>77</v>
      </c>
      <c r="D53" s="16">
        <v>98300</v>
      </c>
      <c r="E53" s="5">
        <v>1</v>
      </c>
      <c r="F53" s="5">
        <v>1.5</v>
      </c>
      <c r="G53" s="17">
        <v>31.4</v>
      </c>
    </row>
    <row r="54" spans="1:8">
      <c r="B54" s="6" t="s">
        <v>104</v>
      </c>
      <c r="C54" s="5" t="s">
        <v>77</v>
      </c>
      <c r="D54" s="16">
        <v>96100</v>
      </c>
      <c r="E54" s="5">
        <v>1</v>
      </c>
      <c r="F54" s="5">
        <v>1.5</v>
      </c>
      <c r="G54" s="17">
        <v>26.37</v>
      </c>
    </row>
    <row r="55" spans="1:8">
      <c r="B55" s="6" t="s">
        <v>105</v>
      </c>
      <c r="C55" s="5" t="s">
        <v>98</v>
      </c>
      <c r="D55" s="16">
        <v>71500</v>
      </c>
      <c r="E55" s="5">
        <v>3</v>
      </c>
      <c r="F55" s="5">
        <v>0.6</v>
      </c>
      <c r="G55" s="17">
        <v>34.53</v>
      </c>
    </row>
    <row r="56" spans="1:8">
      <c r="B56" s="6" t="s">
        <v>78</v>
      </c>
      <c r="C56" s="5" t="s">
        <v>98</v>
      </c>
      <c r="D56" s="16">
        <v>63100</v>
      </c>
      <c r="E56" s="5">
        <v>1</v>
      </c>
      <c r="F56" s="5">
        <v>0.1</v>
      </c>
      <c r="G56" s="17">
        <v>26.62</v>
      </c>
    </row>
    <row r="57" spans="1:8">
      <c r="B57" s="6" t="s">
        <v>107</v>
      </c>
      <c r="C57" s="5" t="s">
        <v>98</v>
      </c>
      <c r="D57" s="16">
        <v>69300</v>
      </c>
      <c r="E57" s="5">
        <v>3</v>
      </c>
      <c r="F57" s="5">
        <v>0.6</v>
      </c>
      <c r="G57" s="17">
        <f>G63</f>
        <v>31.48</v>
      </c>
    </row>
    <row r="58" spans="1:8">
      <c r="D58" s="13"/>
      <c r="E58" s="13"/>
      <c r="F58" s="13"/>
      <c r="G58" s="18"/>
    </row>
    <row r="59" spans="1:8" s="12" customFormat="1">
      <c r="A59" s="11" t="s">
        <v>108</v>
      </c>
      <c r="B59" s="28"/>
      <c r="C59" s="28"/>
      <c r="D59" s="29"/>
      <c r="E59" s="30"/>
      <c r="F59" s="29"/>
      <c r="G59" s="31"/>
    </row>
    <row r="60" spans="1:8">
      <c r="D60" s="323" t="s">
        <v>127</v>
      </c>
      <c r="E60" s="323"/>
      <c r="F60" s="323"/>
      <c r="G60" s="14" t="s">
        <v>128</v>
      </c>
    </row>
    <row r="61" spans="1:8">
      <c r="B61" s="6"/>
      <c r="C61" s="4"/>
      <c r="D61" s="331" t="s">
        <v>129</v>
      </c>
      <c r="E61" s="332"/>
      <c r="F61" s="333"/>
      <c r="G61" s="15" t="s">
        <v>130</v>
      </c>
    </row>
    <row r="62" spans="1:8">
      <c r="B62" s="6"/>
      <c r="C62" s="8" t="s">
        <v>131</v>
      </c>
      <c r="D62" s="5" t="s">
        <v>54</v>
      </c>
      <c r="E62" s="20" t="s">
        <v>63</v>
      </c>
      <c r="F62" s="5" t="s">
        <v>64</v>
      </c>
      <c r="G62" s="15" t="s">
        <v>132</v>
      </c>
    </row>
    <row r="63" spans="1:8">
      <c r="B63" s="6" t="s">
        <v>109</v>
      </c>
      <c r="C63" s="8" t="s">
        <v>98</v>
      </c>
      <c r="D63" s="5">
        <v>69300</v>
      </c>
      <c r="E63" s="16">
        <v>33</v>
      </c>
      <c r="F63" s="5">
        <v>3.2</v>
      </c>
      <c r="G63" s="17">
        <v>31.48</v>
      </c>
      <c r="H63" s="3" t="s">
        <v>135</v>
      </c>
    </row>
    <row r="64" spans="1:8">
      <c r="B64" s="6" t="s">
        <v>136</v>
      </c>
      <c r="C64" s="8" t="s">
        <v>98</v>
      </c>
      <c r="D64" s="5">
        <v>69300</v>
      </c>
      <c r="E64" s="16">
        <v>25</v>
      </c>
      <c r="F64" s="5">
        <v>8</v>
      </c>
      <c r="G64" s="17">
        <v>31.48</v>
      </c>
    </row>
    <row r="65" spans="1:8">
      <c r="B65" s="6" t="s">
        <v>112</v>
      </c>
      <c r="C65" s="8" t="s">
        <v>98</v>
      </c>
      <c r="D65" s="5">
        <v>69300</v>
      </c>
      <c r="E65" s="16">
        <v>3.8</v>
      </c>
      <c r="F65" s="5">
        <v>5.7</v>
      </c>
      <c r="G65" s="17">
        <v>31.48</v>
      </c>
    </row>
    <row r="66" spans="1:8">
      <c r="B66" s="6" t="s">
        <v>113</v>
      </c>
      <c r="C66" s="8" t="s">
        <v>98</v>
      </c>
      <c r="D66" s="5">
        <v>74100</v>
      </c>
      <c r="E66" s="16">
        <v>3.9</v>
      </c>
      <c r="F66" s="5">
        <v>3.9</v>
      </c>
      <c r="G66" s="17">
        <f>G52</f>
        <v>36.42</v>
      </c>
    </row>
    <row r="67" spans="1:8">
      <c r="B67" s="6" t="s">
        <v>114</v>
      </c>
      <c r="C67" s="8" t="s">
        <v>77</v>
      </c>
      <c r="D67" s="5">
        <v>56100</v>
      </c>
      <c r="E67" s="16">
        <v>92</v>
      </c>
      <c r="F67" s="5">
        <v>3</v>
      </c>
      <c r="G67" s="17">
        <v>37.9</v>
      </c>
      <c r="H67" s="3" t="s">
        <v>134</v>
      </c>
    </row>
    <row r="68" spans="1:8">
      <c r="B68" s="6" t="s">
        <v>116</v>
      </c>
      <c r="C68" s="8" t="s">
        <v>98</v>
      </c>
      <c r="D68" s="5">
        <v>63100</v>
      </c>
      <c r="E68" s="16">
        <v>62</v>
      </c>
      <c r="F68" s="5">
        <v>0.2</v>
      </c>
      <c r="G68" s="17">
        <f>G56</f>
        <v>26.62</v>
      </c>
    </row>
    <row r="69" spans="1:8">
      <c r="D69" s="13"/>
      <c r="E69" s="13"/>
      <c r="F69" s="13"/>
      <c r="G69" s="13"/>
    </row>
    <row r="70" spans="1:8" s="12" customFormat="1">
      <c r="A70" s="11" t="s">
        <v>137</v>
      </c>
      <c r="B70" s="28"/>
      <c r="C70" s="28"/>
      <c r="D70" s="29"/>
      <c r="E70" s="30"/>
      <c r="F70" s="29"/>
      <c r="G70" s="31"/>
    </row>
    <row r="71" spans="1:8">
      <c r="D71" s="323" t="s">
        <v>127</v>
      </c>
      <c r="E71" s="323"/>
      <c r="F71" s="323"/>
      <c r="G71" s="14" t="s">
        <v>128</v>
      </c>
    </row>
    <row r="72" spans="1:8">
      <c r="B72" s="6"/>
      <c r="C72" s="4"/>
      <c r="D72" s="331" t="s">
        <v>129</v>
      </c>
      <c r="E72" s="332"/>
      <c r="F72" s="333"/>
      <c r="G72" s="15" t="s">
        <v>130</v>
      </c>
    </row>
    <row r="73" spans="1:8">
      <c r="B73" s="6"/>
      <c r="C73" s="8" t="s">
        <v>131</v>
      </c>
      <c r="D73" s="5" t="s">
        <v>54</v>
      </c>
      <c r="E73" s="20" t="s">
        <v>63</v>
      </c>
      <c r="F73" s="5" t="s">
        <v>64</v>
      </c>
      <c r="G73" s="15" t="s">
        <v>132</v>
      </c>
    </row>
    <row r="74" spans="1:8">
      <c r="B74" s="9" t="s">
        <v>119</v>
      </c>
      <c r="C74" s="8"/>
      <c r="D74" s="5"/>
      <c r="E74" s="16"/>
      <c r="F74" s="5"/>
      <c r="G74" s="17"/>
    </row>
    <row r="75" spans="1:8">
      <c r="B75" s="10" t="s">
        <v>120</v>
      </c>
      <c r="C75" s="8" t="s">
        <v>98</v>
      </c>
      <c r="D75" s="5">
        <v>74100</v>
      </c>
      <c r="E75" s="16">
        <v>4.1500000000000004</v>
      </c>
      <c r="F75" s="5">
        <v>28.6</v>
      </c>
      <c r="G75" s="17">
        <v>36.42</v>
      </c>
    </row>
    <row r="76" spans="1:8">
      <c r="B76" s="10" t="s">
        <v>122</v>
      </c>
      <c r="C76" s="8" t="s">
        <v>98</v>
      </c>
      <c r="D76" s="5">
        <v>74100</v>
      </c>
      <c r="E76" s="16">
        <v>4.1500000000000004</v>
      </c>
      <c r="F76" s="5">
        <v>28.6</v>
      </c>
      <c r="G76" s="17">
        <v>36.42</v>
      </c>
    </row>
    <row r="77" spans="1:8">
      <c r="B77" s="10" t="s">
        <v>123</v>
      </c>
      <c r="C77" s="8" t="s">
        <v>98</v>
      </c>
      <c r="D77" s="5">
        <v>74100</v>
      </c>
      <c r="E77" s="16">
        <v>4.1500000000000004</v>
      </c>
      <c r="F77" s="5">
        <v>28.6</v>
      </c>
      <c r="G77" s="17">
        <v>36.42</v>
      </c>
    </row>
    <row r="78" spans="1:8">
      <c r="B78" s="10" t="s">
        <v>124</v>
      </c>
      <c r="C78" s="8" t="s">
        <v>98</v>
      </c>
      <c r="D78" s="5">
        <v>74100</v>
      </c>
      <c r="E78" s="16">
        <v>4.1500000000000004</v>
      </c>
      <c r="F78" s="5">
        <v>28.6</v>
      </c>
      <c r="G78" s="17">
        <v>36.42</v>
      </c>
    </row>
    <row r="79" spans="1:8">
      <c r="B79" s="9" t="s">
        <v>125</v>
      </c>
      <c r="C79" s="8"/>
      <c r="D79" s="5"/>
      <c r="E79" s="16"/>
      <c r="F79" s="5"/>
      <c r="G79" s="17"/>
    </row>
    <row r="80" spans="1:8">
      <c r="B80" s="10" t="s">
        <v>120</v>
      </c>
      <c r="C80" s="8" t="s">
        <v>98</v>
      </c>
      <c r="D80" s="17">
        <v>69300</v>
      </c>
      <c r="E80" s="17">
        <v>80</v>
      </c>
      <c r="F80" s="17">
        <v>2</v>
      </c>
      <c r="G80" s="17">
        <v>31.48</v>
      </c>
    </row>
    <row r="81" spans="2:7">
      <c r="B81" s="10" t="s">
        <v>122</v>
      </c>
      <c r="C81" s="8" t="s">
        <v>98</v>
      </c>
      <c r="D81" s="17">
        <v>69300</v>
      </c>
      <c r="E81" s="17"/>
      <c r="F81" s="17"/>
      <c r="G81" s="17">
        <v>31.48</v>
      </c>
    </row>
    <row r="82" spans="2:7">
      <c r="B82" s="10" t="s">
        <v>123</v>
      </c>
      <c r="C82" s="8" t="s">
        <v>98</v>
      </c>
      <c r="D82" s="17">
        <v>69300</v>
      </c>
      <c r="E82" s="17">
        <v>50</v>
      </c>
      <c r="F82" s="17">
        <v>2</v>
      </c>
      <c r="G82" s="17">
        <v>31.48</v>
      </c>
    </row>
    <row r="83" spans="2:7">
      <c r="B83" s="10" t="s">
        <v>124</v>
      </c>
      <c r="C83" s="8" t="s">
        <v>98</v>
      </c>
      <c r="D83" s="17">
        <v>69300</v>
      </c>
      <c r="E83" s="17">
        <v>120</v>
      </c>
      <c r="F83" s="17">
        <v>2</v>
      </c>
      <c r="G83" s="17">
        <v>31.48</v>
      </c>
    </row>
    <row r="84" spans="2:7">
      <c r="B84" s="9" t="s">
        <v>126</v>
      </c>
      <c r="C84" s="4"/>
      <c r="D84" s="19"/>
      <c r="E84" s="19"/>
      <c r="F84" s="19"/>
      <c r="G84" s="19"/>
    </row>
    <row r="85" spans="2:7">
      <c r="B85" s="10" t="s">
        <v>120</v>
      </c>
      <c r="C85" s="8" t="s">
        <v>98</v>
      </c>
      <c r="D85" s="17">
        <v>69300</v>
      </c>
      <c r="E85" s="17">
        <v>140</v>
      </c>
      <c r="F85" s="17">
        <v>0.4</v>
      </c>
      <c r="G85" s="17">
        <v>31.48</v>
      </c>
    </row>
    <row r="86" spans="2:7">
      <c r="B86" s="10" t="s">
        <v>122</v>
      </c>
      <c r="C86" s="8" t="s">
        <v>98</v>
      </c>
      <c r="D86" s="17">
        <v>69300</v>
      </c>
      <c r="E86" s="17">
        <v>170</v>
      </c>
      <c r="F86" s="17">
        <v>0.4</v>
      </c>
      <c r="G86" s="17">
        <v>31.48</v>
      </c>
    </row>
    <row r="87" spans="2:7">
      <c r="B87" s="10" t="s">
        <v>123</v>
      </c>
      <c r="C87" s="8" t="s">
        <v>98</v>
      </c>
      <c r="D87" s="17">
        <v>69300</v>
      </c>
      <c r="E87" s="17">
        <v>130</v>
      </c>
      <c r="F87" s="17">
        <v>0.4</v>
      </c>
      <c r="G87" s="17">
        <v>31.48</v>
      </c>
    </row>
    <row r="88" spans="2:7">
      <c r="B88" s="10" t="s">
        <v>124</v>
      </c>
      <c r="C88" s="8" t="s">
        <v>98</v>
      </c>
      <c r="D88" s="17">
        <v>69300</v>
      </c>
      <c r="E88" s="17">
        <v>180</v>
      </c>
      <c r="F88" s="17">
        <v>0.4</v>
      </c>
      <c r="G88" s="17">
        <v>31.48</v>
      </c>
    </row>
    <row r="89" spans="2:7">
      <c r="D89" s="13"/>
      <c r="E89" s="13"/>
      <c r="F89" s="13"/>
      <c r="G89" s="13"/>
    </row>
    <row r="90" spans="2:7">
      <c r="D90" s="13"/>
      <c r="E90" s="13"/>
      <c r="F90" s="13"/>
      <c r="G90" s="13"/>
    </row>
    <row r="91" spans="2:7">
      <c r="D91" s="13"/>
      <c r="E91" s="13"/>
      <c r="F91" s="13"/>
      <c r="G91" s="13"/>
    </row>
    <row r="92" spans="2:7">
      <c r="D92" s="13"/>
      <c r="E92" s="13"/>
      <c r="F92" s="13"/>
      <c r="G92" s="13"/>
    </row>
    <row r="93" spans="2:7">
      <c r="D93" s="13"/>
      <c r="E93" s="13"/>
      <c r="F93" s="13"/>
      <c r="G93" s="13"/>
    </row>
    <row r="94" spans="2:7">
      <c r="D94" s="13"/>
      <c r="E94" s="13"/>
      <c r="F94" s="13"/>
      <c r="G94" s="13"/>
    </row>
    <row r="95" spans="2:7">
      <c r="D95" s="13"/>
      <c r="E95" s="13"/>
      <c r="F95" s="13"/>
      <c r="G95" s="13"/>
    </row>
    <row r="96" spans="2:7">
      <c r="D96" s="13"/>
      <c r="E96" s="13"/>
      <c r="F96" s="13"/>
      <c r="G96" s="13"/>
    </row>
    <row r="97" spans="4:7">
      <c r="D97" s="13"/>
      <c r="E97" s="13"/>
      <c r="F97" s="13"/>
      <c r="G97" s="13"/>
    </row>
    <row r="98" spans="4:7">
      <c r="D98" s="13"/>
      <c r="E98" s="13"/>
      <c r="F98" s="13"/>
      <c r="G98" s="13"/>
    </row>
    <row r="99" spans="4:7">
      <c r="D99" s="13"/>
      <c r="E99" s="13"/>
      <c r="F99" s="13"/>
      <c r="G99" s="13"/>
    </row>
    <row r="100" spans="4:7">
      <c r="D100" s="13"/>
      <c r="E100" s="13"/>
      <c r="F100" s="13"/>
      <c r="G100" s="13"/>
    </row>
    <row r="101" spans="4:7">
      <c r="D101" s="13"/>
      <c r="E101" s="13"/>
      <c r="F101" s="13"/>
      <c r="G101" s="13"/>
    </row>
    <row r="102" spans="4:7">
      <c r="D102" s="13"/>
      <c r="E102" s="13"/>
      <c r="F102" s="13"/>
      <c r="G102" s="13"/>
    </row>
    <row r="103" spans="4:7">
      <c r="D103" s="13"/>
      <c r="E103" s="13"/>
      <c r="F103" s="13"/>
      <c r="G103" s="13"/>
    </row>
    <row r="104" spans="4:7">
      <c r="D104" s="13"/>
      <c r="E104" s="13"/>
      <c r="F104" s="13"/>
      <c r="G104" s="13"/>
    </row>
    <row r="105" spans="4:7">
      <c r="D105" s="13"/>
      <c r="E105" s="13"/>
      <c r="F105" s="13"/>
      <c r="G105" s="13"/>
    </row>
    <row r="106" spans="4:7">
      <c r="D106" s="13"/>
      <c r="E106" s="13"/>
      <c r="F106" s="13"/>
      <c r="G106" s="13"/>
    </row>
    <row r="107" spans="4:7">
      <c r="D107" s="13"/>
      <c r="E107" s="13"/>
      <c r="F107" s="13"/>
      <c r="G107" s="13"/>
    </row>
    <row r="108" spans="4:7">
      <c r="D108" s="13"/>
      <c r="E108" s="13"/>
      <c r="F108" s="13"/>
      <c r="G108" s="13"/>
    </row>
    <row r="109" spans="4:7">
      <c r="D109" s="13"/>
      <c r="E109" s="13"/>
      <c r="F109" s="13"/>
      <c r="G109" s="13"/>
    </row>
    <row r="110" spans="4:7">
      <c r="D110" s="13"/>
      <c r="E110" s="13"/>
      <c r="F110" s="13"/>
      <c r="G110" s="13"/>
    </row>
    <row r="111" spans="4:7">
      <c r="D111" s="13"/>
      <c r="E111" s="13"/>
      <c r="F111" s="13"/>
      <c r="G111" s="13"/>
    </row>
    <row r="112" spans="4:7">
      <c r="D112" s="13"/>
      <c r="E112" s="13"/>
      <c r="F112" s="13"/>
      <c r="G112" s="13"/>
    </row>
    <row r="113" spans="4:7">
      <c r="D113" s="13"/>
      <c r="E113" s="13"/>
      <c r="F113" s="13"/>
      <c r="G113" s="13"/>
    </row>
    <row r="114" spans="4:7">
      <c r="D114" s="13"/>
      <c r="E114" s="13"/>
      <c r="F114" s="13"/>
      <c r="G114" s="13"/>
    </row>
    <row r="115" spans="4:7">
      <c r="D115" s="13"/>
      <c r="E115" s="13"/>
      <c r="F115" s="13"/>
      <c r="G115" s="13"/>
    </row>
    <row r="116" spans="4:7">
      <c r="D116" s="13"/>
      <c r="E116" s="13"/>
      <c r="F116" s="13"/>
      <c r="G116" s="13"/>
    </row>
    <row r="117" spans="4:7">
      <c r="D117" s="13"/>
      <c r="E117" s="13"/>
      <c r="F117" s="13"/>
      <c r="G117" s="13"/>
    </row>
    <row r="118" spans="4:7">
      <c r="D118" s="13"/>
      <c r="E118" s="13"/>
      <c r="F118" s="13"/>
      <c r="G118" s="13"/>
    </row>
    <row r="119" spans="4:7">
      <c r="D119" s="13"/>
      <c r="E119" s="13"/>
      <c r="F119" s="13"/>
      <c r="G119" s="13"/>
    </row>
    <row r="120" spans="4:7">
      <c r="D120" s="13"/>
      <c r="E120" s="13"/>
      <c r="F120" s="13"/>
      <c r="G120" s="13"/>
    </row>
    <row r="121" spans="4:7">
      <c r="D121" s="13"/>
      <c r="E121" s="13"/>
      <c r="F121" s="13"/>
      <c r="G121" s="13"/>
    </row>
    <row r="122" spans="4:7">
      <c r="D122" s="13"/>
      <c r="E122" s="13"/>
      <c r="F122" s="13"/>
      <c r="G122" s="13"/>
    </row>
    <row r="123" spans="4:7">
      <c r="D123" s="13"/>
      <c r="E123" s="13"/>
      <c r="F123" s="13"/>
      <c r="G123" s="13"/>
    </row>
    <row r="124" spans="4:7">
      <c r="D124" s="13"/>
      <c r="E124" s="13"/>
      <c r="F124" s="13"/>
      <c r="G124" s="13"/>
    </row>
    <row r="125" spans="4:7">
      <c r="D125" s="13"/>
      <c r="E125" s="13"/>
      <c r="F125" s="13"/>
      <c r="G125" s="13"/>
    </row>
    <row r="126" spans="4:7">
      <c r="D126" s="13"/>
      <c r="E126" s="13"/>
      <c r="F126" s="13"/>
      <c r="G126" s="13"/>
    </row>
    <row r="127" spans="4:7">
      <c r="D127" s="13"/>
      <c r="E127" s="13"/>
      <c r="F127" s="13"/>
      <c r="G127" s="13"/>
    </row>
    <row r="128" spans="4:7">
      <c r="D128" s="13"/>
      <c r="E128" s="13"/>
      <c r="F128" s="13"/>
      <c r="G128" s="13"/>
    </row>
    <row r="129" spans="4:7">
      <c r="D129" s="13"/>
      <c r="E129" s="13"/>
      <c r="F129" s="13"/>
      <c r="G129" s="13"/>
    </row>
    <row r="130" spans="4:7">
      <c r="D130" s="13"/>
      <c r="E130" s="13"/>
      <c r="F130" s="13"/>
      <c r="G130" s="13"/>
    </row>
    <row r="131" spans="4:7">
      <c r="D131" s="13"/>
      <c r="E131" s="13"/>
      <c r="F131" s="13"/>
      <c r="G131" s="13"/>
    </row>
    <row r="132" spans="4:7">
      <c r="D132" s="13"/>
      <c r="E132" s="13"/>
      <c r="F132" s="13"/>
      <c r="G132" s="13"/>
    </row>
    <row r="133" spans="4:7">
      <c r="D133" s="13"/>
      <c r="E133" s="13"/>
      <c r="F133" s="13"/>
      <c r="G133" s="13"/>
    </row>
    <row r="134" spans="4:7">
      <c r="D134" s="13"/>
      <c r="E134" s="13"/>
      <c r="F134" s="13"/>
      <c r="G134" s="13"/>
    </row>
    <row r="135" spans="4:7">
      <c r="D135" s="13"/>
      <c r="E135" s="13"/>
      <c r="F135" s="13"/>
      <c r="G135" s="13"/>
    </row>
    <row r="136" spans="4:7">
      <c r="D136" s="13"/>
      <c r="E136" s="13"/>
      <c r="F136" s="13"/>
      <c r="G136" s="13"/>
    </row>
    <row r="137" spans="4:7">
      <c r="D137" s="13"/>
      <c r="E137" s="13"/>
      <c r="F137" s="13"/>
      <c r="G137" s="13"/>
    </row>
    <row r="138" spans="4:7">
      <c r="D138" s="13"/>
      <c r="E138" s="13"/>
      <c r="F138" s="13"/>
      <c r="G138" s="13"/>
    </row>
    <row r="139" spans="4:7">
      <c r="D139" s="13"/>
      <c r="E139" s="13"/>
      <c r="F139" s="13"/>
      <c r="G139" s="13"/>
    </row>
    <row r="140" spans="4:7">
      <c r="D140" s="13"/>
      <c r="E140" s="13"/>
      <c r="F140" s="13"/>
      <c r="G140" s="13"/>
    </row>
    <row r="141" spans="4:7">
      <c r="D141" s="13"/>
      <c r="E141" s="13"/>
      <c r="F141" s="13"/>
      <c r="G141" s="13"/>
    </row>
    <row r="142" spans="4:7">
      <c r="D142" s="13"/>
      <c r="E142" s="13"/>
      <c r="F142" s="13"/>
      <c r="G142" s="13"/>
    </row>
    <row r="143" spans="4:7">
      <c r="D143" s="13"/>
      <c r="E143" s="13"/>
      <c r="F143" s="13"/>
      <c r="G143" s="13"/>
    </row>
    <row r="144" spans="4:7">
      <c r="D144" s="13"/>
      <c r="E144" s="13"/>
      <c r="F144" s="13"/>
      <c r="G144" s="13"/>
    </row>
    <row r="145" spans="4:7">
      <c r="D145" s="13"/>
      <c r="E145" s="13"/>
      <c r="F145" s="13"/>
      <c r="G145" s="13"/>
    </row>
    <row r="146" spans="4:7">
      <c r="D146" s="13"/>
      <c r="E146" s="13"/>
      <c r="F146" s="13"/>
      <c r="G146" s="13"/>
    </row>
    <row r="147" spans="4:7">
      <c r="D147" s="13"/>
      <c r="E147" s="13"/>
      <c r="F147" s="13"/>
      <c r="G147" s="13"/>
    </row>
    <row r="148" spans="4:7">
      <c r="D148" s="13"/>
      <c r="E148" s="13"/>
      <c r="F148" s="13"/>
      <c r="G148" s="13"/>
    </row>
    <row r="149" spans="4:7">
      <c r="D149" s="13"/>
      <c r="E149" s="13"/>
      <c r="F149" s="13"/>
      <c r="G149" s="13"/>
    </row>
    <row r="150" spans="4:7">
      <c r="D150" s="13"/>
      <c r="E150" s="13"/>
      <c r="F150" s="13"/>
      <c r="G150" s="13"/>
    </row>
    <row r="151" spans="4:7">
      <c r="D151" s="13"/>
      <c r="E151" s="13"/>
      <c r="F151" s="13"/>
      <c r="G151" s="13"/>
    </row>
    <row r="152" spans="4:7">
      <c r="D152" s="13"/>
      <c r="E152" s="13"/>
      <c r="F152" s="13"/>
      <c r="G152" s="13"/>
    </row>
    <row r="153" spans="4:7">
      <c r="D153" s="13"/>
      <c r="E153" s="13"/>
      <c r="F153" s="13"/>
      <c r="G153" s="13"/>
    </row>
    <row r="154" spans="4:7">
      <c r="D154" s="13"/>
      <c r="E154" s="13"/>
      <c r="F154" s="13"/>
      <c r="G154" s="13"/>
    </row>
    <row r="155" spans="4:7">
      <c r="D155" s="13"/>
      <c r="E155" s="13"/>
      <c r="F155" s="13"/>
      <c r="G155" s="13"/>
    </row>
    <row r="156" spans="4:7">
      <c r="D156" s="13"/>
      <c r="E156" s="13"/>
      <c r="F156" s="13"/>
      <c r="G156" s="13"/>
    </row>
    <row r="157" spans="4:7">
      <c r="D157" s="13"/>
      <c r="E157" s="13"/>
      <c r="F157" s="13"/>
      <c r="G157" s="13"/>
    </row>
  </sheetData>
  <sheetProtection sheet="1" objects="1" scenarios="1"/>
  <mergeCells count="11">
    <mergeCell ref="J2:L2"/>
    <mergeCell ref="A2:A4"/>
    <mergeCell ref="B2:B4"/>
    <mergeCell ref="C2:C4"/>
    <mergeCell ref="H2:H4"/>
    <mergeCell ref="D2:G2"/>
    <mergeCell ref="D46:F46"/>
    <mergeCell ref="D60:F60"/>
    <mergeCell ref="D61:F61"/>
    <mergeCell ref="D71:F71"/>
    <mergeCell ref="D72:F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19BA-1D48-40C4-BB96-CE5E9B0216F6}">
  <sheetPr>
    <tabColor theme="5" tint="0.39997558519241921"/>
  </sheetPr>
  <dimension ref="A1:BH97"/>
  <sheetViews>
    <sheetView topLeftCell="A5" zoomScale="70" zoomScaleNormal="70" workbookViewId="0">
      <selection activeCell="G4" sqref="G4"/>
    </sheetView>
  </sheetViews>
  <sheetFormatPr defaultColWidth="8.88671875" defaultRowHeight="13.2"/>
  <cols>
    <col min="1" max="1" width="8.88671875" style="35"/>
    <col min="2" max="2" width="87.44140625" style="35" customWidth="1"/>
    <col min="3" max="3" width="11.44140625" style="35" customWidth="1"/>
    <col min="4" max="4" width="15.88671875" style="35" customWidth="1"/>
    <col min="5" max="5" width="11.44140625" style="35" customWidth="1"/>
    <col min="6" max="12" width="9.88671875" style="35" customWidth="1"/>
    <col min="13" max="13" width="12" style="35" customWidth="1"/>
    <col min="14" max="15" width="9.88671875" style="35" customWidth="1"/>
    <col min="16" max="16" width="11.109375" style="35" customWidth="1"/>
    <col min="17" max="17" width="13.109375" style="35" customWidth="1"/>
    <col min="18" max="25" width="3.109375" style="35" customWidth="1"/>
    <col min="26" max="26" width="52.44140625" style="35" customWidth="1"/>
    <col min="27" max="27" width="9.109375" style="35" customWidth="1"/>
    <col min="28" max="28" width="11.109375" style="35" bestFit="1" customWidth="1"/>
    <col min="29" max="32" width="9.109375" style="35" customWidth="1"/>
    <col min="33" max="33" width="11.109375" style="35" bestFit="1" customWidth="1"/>
    <col min="34" max="40" width="9.109375" style="35" customWidth="1"/>
    <col min="41" max="44" width="12.44140625" style="35" customWidth="1"/>
    <col min="45" max="45" width="14" style="35" customWidth="1"/>
    <col min="46" max="46" width="2.44140625" style="35" customWidth="1"/>
    <col min="47" max="47" width="10.44140625" style="35" bestFit="1" customWidth="1"/>
    <col min="48" max="48" width="11.109375" style="35" bestFit="1" customWidth="1"/>
    <col min="49" max="16384" width="8.88671875" style="35"/>
  </cols>
  <sheetData>
    <row r="1" spans="1:60" ht="15" customHeight="1">
      <c r="A1" s="384"/>
      <c r="B1" s="387" t="s">
        <v>2</v>
      </c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  <c r="AE1" s="388"/>
      <c r="AF1" s="388"/>
      <c r="AG1" s="388"/>
      <c r="AH1" s="388"/>
      <c r="AI1" s="388"/>
      <c r="AJ1" s="388"/>
      <c r="AK1" s="388"/>
      <c r="AL1" s="388"/>
      <c r="AM1" s="388"/>
      <c r="AN1" s="389"/>
      <c r="AO1" s="393" t="s">
        <v>0</v>
      </c>
      <c r="AP1" s="394"/>
      <c r="AQ1" s="394"/>
      <c r="AR1" s="394"/>
      <c r="AS1" s="395"/>
      <c r="BF1" s="99"/>
      <c r="BG1" s="99"/>
      <c r="BH1" s="99"/>
    </row>
    <row r="2" spans="1:60" ht="15" customHeight="1">
      <c r="A2" s="385"/>
      <c r="B2" s="390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  <c r="AF2" s="391"/>
      <c r="AG2" s="391"/>
      <c r="AH2" s="391"/>
      <c r="AI2" s="391"/>
      <c r="AJ2" s="391"/>
      <c r="AK2" s="391"/>
      <c r="AL2" s="391"/>
      <c r="AM2" s="391"/>
      <c r="AN2" s="392"/>
      <c r="AO2" s="396"/>
      <c r="AP2" s="397"/>
      <c r="AQ2" s="397"/>
      <c r="AR2" s="397"/>
      <c r="AS2" s="398"/>
      <c r="BF2" s="99"/>
      <c r="BG2" s="99"/>
      <c r="BH2" s="99"/>
    </row>
    <row r="3" spans="1:60" ht="15" customHeight="1">
      <c r="A3" s="385"/>
      <c r="B3" s="100" t="s">
        <v>1</v>
      </c>
      <c r="C3" s="399" t="s">
        <v>2</v>
      </c>
      <c r="D3" s="400"/>
      <c r="E3" s="400"/>
      <c r="F3" s="401"/>
      <c r="G3" s="101"/>
      <c r="H3" s="102" t="s">
        <v>3</v>
      </c>
      <c r="I3" s="402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4"/>
      <c r="AB3" s="405" t="s">
        <v>23</v>
      </c>
      <c r="AC3" s="406"/>
      <c r="AD3" s="407"/>
      <c r="AE3" s="402"/>
      <c r="AF3" s="403"/>
      <c r="AG3" s="403"/>
      <c r="AH3" s="403"/>
      <c r="AI3" s="403"/>
      <c r="AJ3" s="403"/>
      <c r="AK3" s="403"/>
      <c r="AL3" s="403"/>
      <c r="AM3" s="403"/>
      <c r="AN3" s="404"/>
      <c r="AO3" s="374" t="s">
        <v>4</v>
      </c>
      <c r="AP3" s="375"/>
      <c r="AQ3" s="376"/>
      <c r="AR3" s="408">
        <v>4</v>
      </c>
      <c r="AS3" s="409"/>
      <c r="BF3" s="99"/>
      <c r="BG3" s="99"/>
      <c r="BH3" s="99"/>
    </row>
    <row r="4" spans="1:60" ht="21" customHeight="1">
      <c r="A4" s="386"/>
      <c r="B4" s="100" t="s">
        <v>5</v>
      </c>
      <c r="C4" s="399" t="s">
        <v>24</v>
      </c>
      <c r="D4" s="400"/>
      <c r="E4" s="400"/>
      <c r="F4" s="401"/>
      <c r="G4" s="101"/>
      <c r="H4" s="102" t="s">
        <v>6</v>
      </c>
      <c r="I4" s="371"/>
      <c r="J4" s="372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3"/>
      <c r="AB4" s="103"/>
      <c r="AC4" s="104"/>
      <c r="AD4" s="105"/>
      <c r="AE4" s="104"/>
      <c r="AF4" s="104"/>
      <c r="AG4" s="104"/>
      <c r="AH4" s="104"/>
      <c r="AI4" s="104"/>
      <c r="AJ4" s="104"/>
      <c r="AK4" s="104"/>
      <c r="AL4" s="104"/>
      <c r="AM4" s="104"/>
      <c r="AN4" s="105"/>
      <c r="AO4" s="374" t="s">
        <v>15</v>
      </c>
      <c r="AP4" s="375"/>
      <c r="AQ4" s="376"/>
      <c r="AR4" s="374"/>
      <c r="AS4" s="376"/>
      <c r="BF4" s="99"/>
      <c r="BG4" s="99"/>
      <c r="BH4" s="99"/>
    </row>
    <row r="5" spans="1:60">
      <c r="A5" s="377"/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78"/>
      <c r="Z5" s="378"/>
      <c r="AA5" s="378"/>
      <c r="AB5" s="378"/>
      <c r="AC5" s="378"/>
      <c r="AD5" s="378"/>
      <c r="AE5" s="378"/>
      <c r="AF5" s="378"/>
      <c r="AG5" s="378"/>
      <c r="AH5" s="378"/>
      <c r="AI5" s="378"/>
      <c r="AJ5" s="378"/>
      <c r="AK5" s="378"/>
      <c r="AL5" s="378"/>
      <c r="AM5" s="378"/>
      <c r="AN5" s="378"/>
      <c r="AO5" s="378"/>
      <c r="AP5" s="378"/>
      <c r="AQ5" s="378"/>
      <c r="AR5" s="378"/>
      <c r="AS5" s="379"/>
    </row>
    <row r="6" spans="1:60" s="109" customFormat="1" ht="15" customHeight="1">
      <c r="A6" s="380" t="s">
        <v>25</v>
      </c>
      <c r="B6" s="381" t="s">
        <v>26</v>
      </c>
      <c r="C6" s="383" t="s">
        <v>27</v>
      </c>
      <c r="D6" s="383"/>
      <c r="E6" s="361" t="s">
        <v>28</v>
      </c>
      <c r="F6" s="361"/>
      <c r="G6" s="361"/>
      <c r="H6" s="361"/>
      <c r="I6" s="361"/>
      <c r="J6" s="361"/>
      <c r="K6" s="361"/>
      <c r="L6" s="361"/>
      <c r="M6" s="361"/>
      <c r="N6" s="361"/>
      <c r="O6" s="361" t="s">
        <v>29</v>
      </c>
      <c r="P6" s="361"/>
      <c r="Q6" s="361" t="s">
        <v>30</v>
      </c>
      <c r="R6" s="367" t="s">
        <v>31</v>
      </c>
      <c r="S6" s="367"/>
      <c r="T6" s="367"/>
      <c r="U6" s="367"/>
      <c r="V6" s="367"/>
      <c r="W6" s="367"/>
      <c r="X6" s="367"/>
      <c r="Y6" s="362" t="s">
        <v>32</v>
      </c>
      <c r="Z6" s="367" t="s">
        <v>33</v>
      </c>
      <c r="AA6" s="369" t="s">
        <v>34</v>
      </c>
      <c r="AB6" s="369"/>
      <c r="AC6" s="369"/>
      <c r="AD6" s="369"/>
      <c r="AE6" s="369"/>
      <c r="AF6" s="369"/>
      <c r="AG6" s="369" t="s">
        <v>35</v>
      </c>
      <c r="AH6" s="369"/>
      <c r="AI6" s="369"/>
      <c r="AJ6" s="369"/>
      <c r="AK6" s="369"/>
      <c r="AL6" s="369"/>
      <c r="AM6" s="369"/>
      <c r="AN6" s="369"/>
      <c r="AO6" s="370" t="s">
        <v>36</v>
      </c>
      <c r="AP6" s="438" t="s">
        <v>37</v>
      </c>
      <c r="AQ6" s="438" t="s">
        <v>38</v>
      </c>
      <c r="AR6" s="438" t="s">
        <v>39</v>
      </c>
      <c r="AS6" s="369" t="s">
        <v>40</v>
      </c>
      <c r="AU6" s="365" t="s">
        <v>144</v>
      </c>
      <c r="AV6" s="366"/>
    </row>
    <row r="7" spans="1:60" s="109" customFormat="1" ht="15" customHeight="1">
      <c r="A7" s="380"/>
      <c r="B7" s="382"/>
      <c r="C7" s="383"/>
      <c r="D7" s="383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7" t="s">
        <v>42</v>
      </c>
      <c r="S7" s="367"/>
      <c r="T7" s="367" t="s">
        <v>43</v>
      </c>
      <c r="U7" s="367"/>
      <c r="V7" s="367"/>
      <c r="W7" s="367"/>
      <c r="X7" s="362" t="s">
        <v>44</v>
      </c>
      <c r="Y7" s="362"/>
      <c r="Z7" s="368"/>
      <c r="AA7" s="369"/>
      <c r="AB7" s="369"/>
      <c r="AC7" s="369"/>
      <c r="AD7" s="369"/>
      <c r="AE7" s="369"/>
      <c r="AF7" s="369"/>
      <c r="AG7" s="369"/>
      <c r="AH7" s="369"/>
      <c r="AI7" s="369"/>
      <c r="AJ7" s="369"/>
      <c r="AK7" s="369"/>
      <c r="AL7" s="369"/>
      <c r="AM7" s="369"/>
      <c r="AN7" s="369"/>
      <c r="AO7" s="370"/>
      <c r="AP7" s="438"/>
      <c r="AQ7" s="438"/>
      <c r="AR7" s="438"/>
      <c r="AS7" s="369"/>
      <c r="AT7" s="110"/>
      <c r="AU7" s="111" t="s">
        <v>31</v>
      </c>
      <c r="AV7" s="111" t="s">
        <v>45</v>
      </c>
    </row>
    <row r="8" spans="1:60" s="109" customFormat="1" ht="25.35" customHeight="1">
      <c r="A8" s="380"/>
      <c r="B8" s="382"/>
      <c r="C8" s="383"/>
      <c r="D8" s="383"/>
      <c r="E8" s="361" t="s">
        <v>46</v>
      </c>
      <c r="F8" s="361"/>
      <c r="G8" s="361"/>
      <c r="H8" s="361"/>
      <c r="I8" s="361"/>
      <c r="J8" s="361"/>
      <c r="K8" s="361"/>
      <c r="L8" s="361"/>
      <c r="M8" s="361" t="s">
        <v>41</v>
      </c>
      <c r="N8" s="361"/>
      <c r="O8" s="361" t="s">
        <v>46</v>
      </c>
      <c r="P8" s="361" t="s">
        <v>41</v>
      </c>
      <c r="Q8" s="361"/>
      <c r="R8" s="362" t="s">
        <v>47</v>
      </c>
      <c r="S8" s="362" t="s">
        <v>48</v>
      </c>
      <c r="T8" s="362" t="s">
        <v>49</v>
      </c>
      <c r="U8" s="362" t="s">
        <v>50</v>
      </c>
      <c r="V8" s="362" t="s">
        <v>51</v>
      </c>
      <c r="W8" s="362" t="s">
        <v>52</v>
      </c>
      <c r="X8" s="362"/>
      <c r="Y8" s="362"/>
      <c r="Z8" s="368"/>
      <c r="AA8" s="369"/>
      <c r="AB8" s="369"/>
      <c r="AC8" s="369"/>
      <c r="AD8" s="369"/>
      <c r="AE8" s="369"/>
      <c r="AF8" s="369"/>
      <c r="AG8" s="369"/>
      <c r="AH8" s="369"/>
      <c r="AI8" s="369"/>
      <c r="AJ8" s="369"/>
      <c r="AK8" s="369"/>
      <c r="AL8" s="369"/>
      <c r="AM8" s="369"/>
      <c r="AN8" s="369"/>
      <c r="AO8" s="108" t="s">
        <v>53</v>
      </c>
      <c r="AP8" s="438"/>
      <c r="AQ8" s="438"/>
      <c r="AR8" s="438"/>
      <c r="AS8" s="369"/>
      <c r="AT8" s="110"/>
      <c r="AU8" s="112" t="s">
        <v>54</v>
      </c>
      <c r="AV8" s="113">
        <v>1</v>
      </c>
    </row>
    <row r="9" spans="1:60" s="109" customFormat="1" ht="23.4" customHeight="1">
      <c r="A9" s="380"/>
      <c r="B9" s="382"/>
      <c r="C9" s="114" t="s">
        <v>18</v>
      </c>
      <c r="D9" s="115" t="s">
        <v>19</v>
      </c>
      <c r="E9" s="106" t="s">
        <v>55</v>
      </c>
      <c r="F9" s="106" t="s">
        <v>56</v>
      </c>
      <c r="G9" s="106" t="s">
        <v>57</v>
      </c>
      <c r="H9" s="106" t="s">
        <v>58</v>
      </c>
      <c r="I9" s="106" t="s">
        <v>59</v>
      </c>
      <c r="J9" s="106" t="s">
        <v>60</v>
      </c>
      <c r="K9" s="106" t="s">
        <v>61</v>
      </c>
      <c r="L9" s="106" t="s">
        <v>62</v>
      </c>
      <c r="M9" s="106" t="s">
        <v>61</v>
      </c>
      <c r="N9" s="106" t="s">
        <v>62</v>
      </c>
      <c r="O9" s="361"/>
      <c r="P9" s="361"/>
      <c r="Q9" s="361"/>
      <c r="R9" s="362"/>
      <c r="S9" s="362"/>
      <c r="T9" s="362"/>
      <c r="U9" s="362"/>
      <c r="V9" s="362"/>
      <c r="W9" s="362"/>
      <c r="X9" s="362"/>
      <c r="Y9" s="362"/>
      <c r="Z9" s="368"/>
      <c r="AA9" s="107" t="s">
        <v>54</v>
      </c>
      <c r="AB9" s="107" t="s">
        <v>56</v>
      </c>
      <c r="AC9" s="107" t="s">
        <v>63</v>
      </c>
      <c r="AD9" s="107" t="s">
        <v>64</v>
      </c>
      <c r="AE9" s="107" t="s">
        <v>65</v>
      </c>
      <c r="AF9" s="107" t="s">
        <v>66</v>
      </c>
      <c r="AG9" s="107" t="s">
        <v>56</v>
      </c>
      <c r="AH9" s="107" t="s">
        <v>63</v>
      </c>
      <c r="AI9" s="107" t="s">
        <v>64</v>
      </c>
      <c r="AJ9" s="107" t="s">
        <v>65</v>
      </c>
      <c r="AK9" s="107" t="s">
        <v>66</v>
      </c>
      <c r="AL9" s="107" t="s">
        <v>61</v>
      </c>
      <c r="AM9" s="107" t="s">
        <v>62</v>
      </c>
      <c r="AN9" s="107" t="s">
        <v>44</v>
      </c>
      <c r="AO9" s="116"/>
      <c r="AP9" s="438"/>
      <c r="AQ9" s="438"/>
      <c r="AR9" s="438"/>
      <c r="AS9" s="369"/>
      <c r="AU9" s="112" t="s">
        <v>56</v>
      </c>
      <c r="AV9" s="113">
        <v>30</v>
      </c>
    </row>
    <row r="10" spans="1:60" s="109" customFormat="1" ht="18.899999999999999" customHeight="1">
      <c r="A10" s="312" t="s">
        <v>67</v>
      </c>
      <c r="B10" s="201" t="s">
        <v>8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117"/>
      <c r="P10" s="120"/>
      <c r="Q10" s="357"/>
      <c r="R10" s="357"/>
      <c r="S10" s="357"/>
      <c r="T10" s="357"/>
      <c r="U10" s="357"/>
      <c r="V10" s="357"/>
      <c r="W10" s="357"/>
      <c r="X10" s="357"/>
      <c r="Y10" s="357"/>
      <c r="Z10" s="357"/>
      <c r="AA10" s="180">
        <f t="shared" ref="AA10:AA28" si="0">D10*E10/1000</f>
        <v>0</v>
      </c>
      <c r="AB10" s="180">
        <f t="shared" ref="AB10:AB28" si="1">D10*F10/1000</f>
        <v>0</v>
      </c>
      <c r="AC10" s="180">
        <f t="shared" ref="AC10:AC28" si="2">D10*G10/1000</f>
        <v>0</v>
      </c>
      <c r="AD10" s="180">
        <f t="shared" ref="AD10:AD28" si="3">D10*H10/1000</f>
        <v>0</v>
      </c>
      <c r="AE10" s="180">
        <f t="shared" ref="AE10:AE28" si="4">D10*I10/1000</f>
        <v>0</v>
      </c>
      <c r="AF10" s="180">
        <f t="shared" ref="AF10:AF28" si="5">D10*J10/1000</f>
        <v>0</v>
      </c>
      <c r="AG10" s="180">
        <f t="shared" ref="AG10:AG28" si="6">D10*F10*$AV$9/1000</f>
        <v>0</v>
      </c>
      <c r="AH10" s="180">
        <f t="shared" ref="AH10:AH28" si="7">D10*G10*$AV$10/1000</f>
        <v>0</v>
      </c>
      <c r="AI10" s="180">
        <f t="shared" ref="AI10:AI28" si="8">D10*H10*$AV$11/1000</f>
        <v>0</v>
      </c>
      <c r="AJ10" s="180">
        <f>D10*I10*$AV$12/1000</f>
        <v>0</v>
      </c>
      <c r="AK10" s="180">
        <f>D10*J10*$AV$13/1000</f>
        <v>0</v>
      </c>
      <c r="AL10" s="180">
        <f>D10*K10*M10/1000</f>
        <v>0</v>
      </c>
      <c r="AM10" s="180">
        <f>D10*L10*N10/1000</f>
        <v>0</v>
      </c>
      <c r="AN10" s="181"/>
      <c r="AO10" s="180">
        <f>D10*Q10/1000</f>
        <v>0</v>
      </c>
      <c r="AP10" s="118" t="e">
        <f t="shared" ref="AP10:AP28" si="9">AO10/$AO$29</f>
        <v>#REF!</v>
      </c>
      <c r="AQ10" s="118" t="e">
        <f t="shared" ref="AQ10:AQ28" si="10">AO10/$AO$95</f>
        <v>#REF!</v>
      </c>
      <c r="AR10" s="118" t="e">
        <f>AP10/$AO$96</f>
        <v>#REF!</v>
      </c>
      <c r="AS10" s="119"/>
      <c r="AU10" s="112" t="s">
        <v>63</v>
      </c>
      <c r="AV10" s="113">
        <v>28</v>
      </c>
    </row>
    <row r="11" spans="1:60" s="109" customFormat="1" ht="18.899999999999999" customHeight="1">
      <c r="A11" s="312"/>
      <c r="B11" s="264" t="s">
        <v>9</v>
      </c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117"/>
      <c r="P11" s="120"/>
      <c r="Q11" s="263"/>
      <c r="R11" s="254"/>
      <c r="S11" s="254"/>
      <c r="T11" s="254"/>
      <c r="U11" s="254"/>
      <c r="V11" s="254"/>
      <c r="W11" s="254"/>
      <c r="X11" s="254"/>
      <c r="Y11" s="254"/>
      <c r="Z11" s="237"/>
      <c r="AA11" s="180">
        <f t="shared" si="0"/>
        <v>0</v>
      </c>
      <c r="AB11" s="180">
        <f t="shared" si="1"/>
        <v>0</v>
      </c>
      <c r="AC11" s="180">
        <f t="shared" si="2"/>
        <v>0</v>
      </c>
      <c r="AD11" s="180">
        <f t="shared" si="3"/>
        <v>0</v>
      </c>
      <c r="AE11" s="180">
        <f t="shared" si="4"/>
        <v>0</v>
      </c>
      <c r="AF11" s="180">
        <f t="shared" si="5"/>
        <v>0</v>
      </c>
      <c r="AG11" s="180">
        <f t="shared" si="6"/>
        <v>0</v>
      </c>
      <c r="AH11" s="180">
        <f t="shared" si="7"/>
        <v>0</v>
      </c>
      <c r="AI11" s="180">
        <f t="shared" si="8"/>
        <v>0</v>
      </c>
      <c r="AJ11" s="180">
        <f t="shared" ref="AJ11:AJ28" si="11">D11*I11*$AV$12/1000</f>
        <v>0</v>
      </c>
      <c r="AK11" s="180">
        <f t="shared" ref="AK11:AK28" si="12">D11*J11*$AV$13/1000</f>
        <v>0</v>
      </c>
      <c r="AL11" s="180">
        <f t="shared" ref="AL11:AL28" si="13">D11*K11*M11/1000</f>
        <v>0</v>
      </c>
      <c r="AM11" s="180">
        <f t="shared" ref="AM11:AM28" si="14">D11*L11*N11/1000</f>
        <v>0</v>
      </c>
      <c r="AN11" s="181"/>
      <c r="AO11" s="180">
        <f t="shared" ref="AO11:AO24" si="15">D11*Q11/1000</f>
        <v>0</v>
      </c>
      <c r="AP11" s="118" t="e">
        <f t="shared" si="9"/>
        <v>#REF!</v>
      </c>
      <c r="AQ11" s="118" t="e">
        <f t="shared" si="10"/>
        <v>#REF!</v>
      </c>
      <c r="AR11" s="118" t="e">
        <f t="shared" ref="AR11:AR28" si="16">AO11/$AO$96</f>
        <v>#REF!</v>
      </c>
      <c r="AS11" s="125"/>
      <c r="AT11" s="126"/>
      <c r="AU11" s="112" t="s">
        <v>64</v>
      </c>
      <c r="AV11" s="113">
        <v>265</v>
      </c>
    </row>
    <row r="12" spans="1:60" s="109" customFormat="1" ht="18.899999999999999" customHeight="1">
      <c r="A12" s="312"/>
      <c r="B12" s="177" t="s">
        <v>10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9"/>
      <c r="O12" s="117"/>
      <c r="P12" s="120"/>
      <c r="Q12" s="360"/>
      <c r="R12" s="358"/>
      <c r="S12" s="358"/>
      <c r="T12" s="358"/>
      <c r="U12" s="358"/>
      <c r="V12" s="358"/>
      <c r="W12" s="358"/>
      <c r="X12" s="358"/>
      <c r="Y12" s="358"/>
      <c r="Z12" s="358"/>
      <c r="AA12" s="180">
        <f t="shared" si="0"/>
        <v>0</v>
      </c>
      <c r="AB12" s="180">
        <f t="shared" si="1"/>
        <v>0</v>
      </c>
      <c r="AC12" s="180">
        <f t="shared" si="2"/>
        <v>0</v>
      </c>
      <c r="AD12" s="180">
        <f t="shared" si="3"/>
        <v>0</v>
      </c>
      <c r="AE12" s="180">
        <f t="shared" si="4"/>
        <v>0</v>
      </c>
      <c r="AF12" s="180">
        <f t="shared" si="5"/>
        <v>0</v>
      </c>
      <c r="AG12" s="180">
        <f t="shared" si="6"/>
        <v>0</v>
      </c>
      <c r="AH12" s="180">
        <f t="shared" si="7"/>
        <v>0</v>
      </c>
      <c r="AI12" s="180">
        <f t="shared" si="8"/>
        <v>0</v>
      </c>
      <c r="AJ12" s="180">
        <f t="shared" si="11"/>
        <v>0</v>
      </c>
      <c r="AK12" s="180">
        <f t="shared" si="12"/>
        <v>0</v>
      </c>
      <c r="AL12" s="180">
        <f t="shared" si="13"/>
        <v>0</v>
      </c>
      <c r="AM12" s="180">
        <f t="shared" si="14"/>
        <v>0</v>
      </c>
      <c r="AN12" s="181"/>
      <c r="AO12" s="180">
        <f t="shared" si="15"/>
        <v>0</v>
      </c>
      <c r="AP12" s="118" t="e">
        <f t="shared" si="9"/>
        <v>#REF!</v>
      </c>
      <c r="AQ12" s="118" t="e">
        <f t="shared" si="10"/>
        <v>#REF!</v>
      </c>
      <c r="AR12" s="118" t="e">
        <f t="shared" si="16"/>
        <v>#REF!</v>
      </c>
      <c r="AS12" s="125"/>
      <c r="AT12" s="126"/>
    </row>
    <row r="13" spans="1:60" s="109" customFormat="1" ht="18.899999999999999" customHeight="1">
      <c r="A13" s="312"/>
      <c r="B13" s="255" t="str">
        <f>'Activity data -Head Office'!A10</f>
        <v>Diesel B7 รถ forklift</v>
      </c>
      <c r="C13" s="256" t="str">
        <f>'Activity data -Head Office'!E10</f>
        <v>Litre</v>
      </c>
      <c r="D13" s="259">
        <f>'Activity data -Head Office'!F10</f>
        <v>627.62999999999988</v>
      </c>
      <c r="E13" s="254" t="e">
        <f>#REF!</f>
        <v>#REF!</v>
      </c>
      <c r="F13" s="254" t="e">
        <f>#REF!</f>
        <v>#REF!</v>
      </c>
      <c r="G13" s="254" t="e">
        <f>#REF!</f>
        <v>#REF!</v>
      </c>
      <c r="H13" s="254" t="e">
        <f>#REF!</f>
        <v>#REF!</v>
      </c>
      <c r="I13" s="270">
        <v>0</v>
      </c>
      <c r="J13" s="270">
        <v>0</v>
      </c>
      <c r="K13" s="270">
        <v>0</v>
      </c>
      <c r="L13" s="270">
        <v>0</v>
      </c>
      <c r="M13" s="270">
        <v>0</v>
      </c>
      <c r="N13" s="270">
        <v>0</v>
      </c>
      <c r="O13" s="117"/>
      <c r="P13" s="120"/>
      <c r="Q13" s="263" t="e">
        <f t="shared" ref="Q13:Q18" si="17">(E13*$AV$8)+(F13*$AV$9)+(G13*$AV$10)+(H13*$AV$11)+(I13*$AV$12)+(J13*$AV$13)+(K13*M13)+(L13*N13)</f>
        <v>#REF!</v>
      </c>
      <c r="R13" s="254"/>
      <c r="S13" s="254"/>
      <c r="T13" s="254"/>
      <c r="U13" s="254" t="s">
        <v>17</v>
      </c>
      <c r="V13" s="254"/>
      <c r="W13" s="254"/>
      <c r="X13" s="254"/>
      <c r="Y13" s="254"/>
      <c r="Z13" s="182" t="s">
        <v>68</v>
      </c>
      <c r="AA13" s="180" t="e">
        <f t="shared" si="0"/>
        <v>#REF!</v>
      </c>
      <c r="AB13" s="180" t="e">
        <f t="shared" si="1"/>
        <v>#REF!</v>
      </c>
      <c r="AC13" s="180" t="e">
        <f t="shared" si="2"/>
        <v>#REF!</v>
      </c>
      <c r="AD13" s="180" t="e">
        <f t="shared" si="3"/>
        <v>#REF!</v>
      </c>
      <c r="AE13" s="180">
        <f t="shared" si="4"/>
        <v>0</v>
      </c>
      <c r="AF13" s="180">
        <f t="shared" si="5"/>
        <v>0</v>
      </c>
      <c r="AG13" s="180" t="e">
        <f t="shared" si="6"/>
        <v>#REF!</v>
      </c>
      <c r="AH13" s="180" t="e">
        <f t="shared" si="7"/>
        <v>#REF!</v>
      </c>
      <c r="AI13" s="180" t="e">
        <f t="shared" si="8"/>
        <v>#REF!</v>
      </c>
      <c r="AJ13" s="180">
        <f t="shared" si="11"/>
        <v>0</v>
      </c>
      <c r="AK13" s="180">
        <f t="shared" si="12"/>
        <v>0</v>
      </c>
      <c r="AL13" s="180">
        <f t="shared" si="13"/>
        <v>0</v>
      </c>
      <c r="AM13" s="180">
        <f t="shared" si="14"/>
        <v>0</v>
      </c>
      <c r="AN13" s="181"/>
      <c r="AO13" s="180" t="e">
        <f t="shared" si="15"/>
        <v>#REF!</v>
      </c>
      <c r="AP13" s="118" t="e">
        <f t="shared" si="9"/>
        <v>#REF!</v>
      </c>
      <c r="AQ13" s="118" t="e">
        <f t="shared" si="10"/>
        <v>#REF!</v>
      </c>
      <c r="AR13" s="118" t="e">
        <f t="shared" si="16"/>
        <v>#REF!</v>
      </c>
      <c r="AS13" s="125"/>
      <c r="AT13" s="126"/>
    </row>
    <row r="14" spans="1:60" s="109" customFormat="1" ht="18.899999999999999" customHeight="1">
      <c r="A14" s="312"/>
      <c r="B14" s="255" t="str">
        <f>'Activity data -Head Office'!A11</f>
        <v>Diesel B7 รถบรรทุก 6 ล้อ (บท9680, 83-9095)</v>
      </c>
      <c r="C14" s="256" t="str">
        <f>'Activity data -Head Office'!E11</f>
        <v>Litre</v>
      </c>
      <c r="D14" s="259">
        <f>'Activity data -Head Office'!F11</f>
        <v>8786.380000000001</v>
      </c>
      <c r="E14" s="254" t="e">
        <f>#REF!</f>
        <v>#REF!</v>
      </c>
      <c r="F14" s="254" t="e">
        <f>#REF!</f>
        <v>#REF!</v>
      </c>
      <c r="G14" s="254" t="e">
        <f>#REF!</f>
        <v>#REF!</v>
      </c>
      <c r="H14" s="254" t="e">
        <f>#REF!</f>
        <v>#REF!</v>
      </c>
      <c r="I14" s="270">
        <v>0</v>
      </c>
      <c r="J14" s="270">
        <v>0</v>
      </c>
      <c r="K14" s="270">
        <v>0</v>
      </c>
      <c r="L14" s="270">
        <v>0</v>
      </c>
      <c r="M14" s="270">
        <v>0</v>
      </c>
      <c r="N14" s="270">
        <v>0</v>
      </c>
      <c r="O14" s="117"/>
      <c r="P14" s="252"/>
      <c r="Q14" s="263" t="e">
        <f t="shared" si="17"/>
        <v>#REF!</v>
      </c>
      <c r="R14" s="254"/>
      <c r="S14" s="254"/>
      <c r="T14" s="254"/>
      <c r="U14" s="254" t="s">
        <v>17</v>
      </c>
      <c r="V14" s="254"/>
      <c r="W14" s="254"/>
      <c r="X14" s="254"/>
      <c r="Y14" s="254"/>
      <c r="Z14" s="182" t="s">
        <v>68</v>
      </c>
      <c r="AA14" s="180" t="e">
        <f t="shared" si="0"/>
        <v>#REF!</v>
      </c>
      <c r="AB14" s="180" t="e">
        <f t="shared" si="1"/>
        <v>#REF!</v>
      </c>
      <c r="AC14" s="180" t="e">
        <f t="shared" si="2"/>
        <v>#REF!</v>
      </c>
      <c r="AD14" s="180" t="e">
        <f t="shared" si="3"/>
        <v>#REF!</v>
      </c>
      <c r="AE14" s="180">
        <f t="shared" si="4"/>
        <v>0</v>
      </c>
      <c r="AF14" s="180">
        <f t="shared" si="5"/>
        <v>0</v>
      </c>
      <c r="AG14" s="180" t="e">
        <f t="shared" si="6"/>
        <v>#REF!</v>
      </c>
      <c r="AH14" s="180" t="e">
        <f t="shared" si="7"/>
        <v>#REF!</v>
      </c>
      <c r="AI14" s="180" t="e">
        <f t="shared" si="8"/>
        <v>#REF!</v>
      </c>
      <c r="AJ14" s="180">
        <f t="shared" si="11"/>
        <v>0</v>
      </c>
      <c r="AK14" s="180">
        <f t="shared" si="12"/>
        <v>0</v>
      </c>
      <c r="AL14" s="180">
        <f t="shared" si="13"/>
        <v>0</v>
      </c>
      <c r="AM14" s="180">
        <f t="shared" si="14"/>
        <v>0</v>
      </c>
      <c r="AN14" s="181"/>
      <c r="AO14" s="180" t="e">
        <f t="shared" si="15"/>
        <v>#REF!</v>
      </c>
      <c r="AP14" s="118" t="e">
        <f t="shared" si="9"/>
        <v>#REF!</v>
      </c>
      <c r="AQ14" s="118" t="e">
        <f t="shared" si="10"/>
        <v>#REF!</v>
      </c>
      <c r="AR14" s="118" t="e">
        <f t="shared" si="16"/>
        <v>#REF!</v>
      </c>
      <c r="AS14" s="125"/>
      <c r="AT14" s="126"/>
    </row>
    <row r="15" spans="1:60" s="109" customFormat="1" ht="18.899999999999999" customHeight="1">
      <c r="A15" s="312"/>
      <c r="B15" s="255" t="str">
        <f>'Activity data -Head Office'!A12</f>
        <v>Diesel B7 รถกระบะส่วนบุคคลขนาด 1 ตัน ของบริษัท (1กร 3494)</v>
      </c>
      <c r="C15" s="256" t="str">
        <f>'Activity data -Head Office'!E12</f>
        <v>Litre</v>
      </c>
      <c r="D15" s="259">
        <f>'Activity data -Head Office'!F12</f>
        <v>2991.3100000000004</v>
      </c>
      <c r="E15" s="254" t="e">
        <f>#REF!</f>
        <v>#REF!</v>
      </c>
      <c r="F15" s="254" t="e">
        <f>#REF!</f>
        <v>#REF!</v>
      </c>
      <c r="G15" s="254" t="e">
        <f>#REF!</f>
        <v>#REF!</v>
      </c>
      <c r="H15" s="254" t="e">
        <f>#REF!</f>
        <v>#REF!</v>
      </c>
      <c r="I15" s="270">
        <v>0</v>
      </c>
      <c r="J15" s="270">
        <v>0</v>
      </c>
      <c r="K15" s="270">
        <v>0</v>
      </c>
      <c r="L15" s="270">
        <v>0</v>
      </c>
      <c r="M15" s="270">
        <v>0</v>
      </c>
      <c r="N15" s="270">
        <v>0</v>
      </c>
      <c r="O15" s="117"/>
      <c r="P15" s="120"/>
      <c r="Q15" s="263" t="e">
        <f t="shared" si="17"/>
        <v>#REF!</v>
      </c>
      <c r="R15" s="254"/>
      <c r="S15" s="254"/>
      <c r="T15" s="254"/>
      <c r="U15" s="254" t="s">
        <v>17</v>
      </c>
      <c r="V15" s="254"/>
      <c r="W15" s="254"/>
      <c r="X15" s="254"/>
      <c r="Y15" s="254"/>
      <c r="Z15" s="182" t="s">
        <v>69</v>
      </c>
      <c r="AA15" s="180" t="e">
        <f t="shared" si="0"/>
        <v>#REF!</v>
      </c>
      <c r="AB15" s="180" t="e">
        <f t="shared" si="1"/>
        <v>#REF!</v>
      </c>
      <c r="AC15" s="180" t="e">
        <f t="shared" si="2"/>
        <v>#REF!</v>
      </c>
      <c r="AD15" s="180" t="e">
        <f t="shared" si="3"/>
        <v>#REF!</v>
      </c>
      <c r="AE15" s="180">
        <f t="shared" si="4"/>
        <v>0</v>
      </c>
      <c r="AF15" s="180">
        <f t="shared" si="5"/>
        <v>0</v>
      </c>
      <c r="AG15" s="180" t="e">
        <f t="shared" si="6"/>
        <v>#REF!</v>
      </c>
      <c r="AH15" s="180" t="e">
        <f t="shared" si="7"/>
        <v>#REF!</v>
      </c>
      <c r="AI15" s="180" t="e">
        <f t="shared" si="8"/>
        <v>#REF!</v>
      </c>
      <c r="AJ15" s="180">
        <f t="shared" si="11"/>
        <v>0</v>
      </c>
      <c r="AK15" s="180">
        <f t="shared" si="12"/>
        <v>0</v>
      </c>
      <c r="AL15" s="180">
        <f t="shared" si="13"/>
        <v>0</v>
      </c>
      <c r="AM15" s="180">
        <f t="shared" si="14"/>
        <v>0</v>
      </c>
      <c r="AN15" s="181"/>
      <c r="AO15" s="180" t="e">
        <f t="shared" si="15"/>
        <v>#REF!</v>
      </c>
      <c r="AP15" s="118" t="e">
        <f t="shared" si="9"/>
        <v>#REF!</v>
      </c>
      <c r="AQ15" s="118" t="e">
        <f t="shared" si="10"/>
        <v>#REF!</v>
      </c>
      <c r="AR15" s="118" t="e">
        <f t="shared" si="16"/>
        <v>#REF!</v>
      </c>
      <c r="AS15" s="125"/>
      <c r="AT15" s="126"/>
    </row>
    <row r="16" spans="1:60" s="109" customFormat="1" ht="18.899999999999999" customHeight="1">
      <c r="A16" s="312"/>
      <c r="B16" s="255" t="str">
        <f>'Activity data -Head Office'!A13</f>
        <v>Diesel B7/พรีเมียม รถยนต์ขนาดใหญ่ 2000 cc (4ขอ 1948, 6กญ 2678, ญร4569, ภฮ9789)</v>
      </c>
      <c r="C16" s="256" t="str">
        <f>'Activity data -Head Office'!E13</f>
        <v>Litre</v>
      </c>
      <c r="D16" s="259">
        <f>'Activity data -Head Office'!F13</f>
        <v>2881.42</v>
      </c>
      <c r="E16" s="254" t="e">
        <f>#REF!</f>
        <v>#REF!</v>
      </c>
      <c r="F16" s="254" t="e">
        <f>#REF!</f>
        <v>#REF!</v>
      </c>
      <c r="G16" s="254" t="e">
        <f>#REF!</f>
        <v>#REF!</v>
      </c>
      <c r="H16" s="254" t="e">
        <f>#REF!</f>
        <v>#REF!</v>
      </c>
      <c r="I16" s="270">
        <v>0</v>
      </c>
      <c r="J16" s="270">
        <v>0</v>
      </c>
      <c r="K16" s="270">
        <v>0</v>
      </c>
      <c r="L16" s="270">
        <v>0</v>
      </c>
      <c r="M16" s="270">
        <v>0</v>
      </c>
      <c r="N16" s="270">
        <v>0</v>
      </c>
      <c r="O16" s="117"/>
      <c r="P16" s="120"/>
      <c r="Q16" s="263" t="e">
        <f t="shared" si="17"/>
        <v>#REF!</v>
      </c>
      <c r="R16" s="254"/>
      <c r="S16" s="254"/>
      <c r="T16" s="254"/>
      <c r="U16" s="254" t="s">
        <v>17</v>
      </c>
      <c r="V16" s="254"/>
      <c r="W16" s="254"/>
      <c r="X16" s="254"/>
      <c r="Y16" s="254"/>
      <c r="Z16" s="182" t="s">
        <v>69</v>
      </c>
      <c r="AA16" s="180" t="e">
        <f t="shared" si="0"/>
        <v>#REF!</v>
      </c>
      <c r="AB16" s="180" t="e">
        <f t="shared" si="1"/>
        <v>#REF!</v>
      </c>
      <c r="AC16" s="180" t="e">
        <f t="shared" si="2"/>
        <v>#REF!</v>
      </c>
      <c r="AD16" s="180" t="e">
        <f t="shared" si="3"/>
        <v>#REF!</v>
      </c>
      <c r="AE16" s="180">
        <f t="shared" si="4"/>
        <v>0</v>
      </c>
      <c r="AF16" s="180">
        <f t="shared" si="5"/>
        <v>0</v>
      </c>
      <c r="AG16" s="180" t="e">
        <f t="shared" si="6"/>
        <v>#REF!</v>
      </c>
      <c r="AH16" s="180" t="e">
        <f t="shared" si="7"/>
        <v>#REF!</v>
      </c>
      <c r="AI16" s="180" t="e">
        <f t="shared" si="8"/>
        <v>#REF!</v>
      </c>
      <c r="AJ16" s="180">
        <f t="shared" si="11"/>
        <v>0</v>
      </c>
      <c r="AK16" s="180">
        <f t="shared" si="12"/>
        <v>0</v>
      </c>
      <c r="AL16" s="180">
        <f t="shared" si="13"/>
        <v>0</v>
      </c>
      <c r="AM16" s="180">
        <f t="shared" si="14"/>
        <v>0</v>
      </c>
      <c r="AN16" s="181"/>
      <c r="AO16" s="180" t="e">
        <f t="shared" si="15"/>
        <v>#REF!</v>
      </c>
      <c r="AP16" s="118" t="e">
        <f t="shared" si="9"/>
        <v>#REF!</v>
      </c>
      <c r="AQ16" s="118" t="e">
        <f t="shared" si="10"/>
        <v>#REF!</v>
      </c>
      <c r="AR16" s="118" t="e">
        <f t="shared" si="16"/>
        <v>#REF!</v>
      </c>
      <c r="AS16" s="125"/>
      <c r="AT16" s="126"/>
    </row>
    <row r="17" spans="1:46" s="109" customFormat="1" ht="18.899999999999999" customHeight="1">
      <c r="A17" s="312"/>
      <c r="B17" s="255" t="str">
        <f>'Activity data -Head Office'!A14</f>
        <v>Gasohol 95 รถยนต์ขนาดใหญ่ ขนาด 2000cc ของบริษัท (1ขญ 1643, 2ขญ 1643, 34DUMMY, 4กฎ 2234, 4ขต 9545)</v>
      </c>
      <c r="C17" s="256" t="str">
        <f>'Activity data -Head Office'!E14</f>
        <v>Litre</v>
      </c>
      <c r="D17" s="259">
        <f>'Activity data -Head Office'!F14</f>
        <v>4724.4500000000007</v>
      </c>
      <c r="E17" s="254" t="e">
        <f>#REF!</f>
        <v>#REF!</v>
      </c>
      <c r="F17" s="254" t="e">
        <f>#REF!</f>
        <v>#REF!</v>
      </c>
      <c r="G17" s="254" t="e">
        <f>#REF!</f>
        <v>#REF!</v>
      </c>
      <c r="H17" s="254" t="e">
        <f>#REF!</f>
        <v>#REF!</v>
      </c>
      <c r="I17" s="270">
        <v>0</v>
      </c>
      <c r="J17" s="270">
        <v>0</v>
      </c>
      <c r="K17" s="270">
        <v>0</v>
      </c>
      <c r="L17" s="270">
        <v>0</v>
      </c>
      <c r="M17" s="270">
        <v>0</v>
      </c>
      <c r="N17" s="270">
        <v>0</v>
      </c>
      <c r="O17" s="117"/>
      <c r="P17" s="120"/>
      <c r="Q17" s="263" t="e">
        <f t="shared" si="17"/>
        <v>#REF!</v>
      </c>
      <c r="R17" s="254"/>
      <c r="S17" s="254"/>
      <c r="T17" s="254"/>
      <c r="U17" s="254" t="s">
        <v>17</v>
      </c>
      <c r="V17" s="254"/>
      <c r="W17" s="254"/>
      <c r="X17" s="254"/>
      <c r="Y17" s="254"/>
      <c r="Z17" s="182" t="s">
        <v>70</v>
      </c>
      <c r="AA17" s="180" t="e">
        <f t="shared" si="0"/>
        <v>#REF!</v>
      </c>
      <c r="AB17" s="180" t="e">
        <f t="shared" si="1"/>
        <v>#REF!</v>
      </c>
      <c r="AC17" s="180" t="e">
        <f t="shared" si="2"/>
        <v>#REF!</v>
      </c>
      <c r="AD17" s="180" t="e">
        <f t="shared" si="3"/>
        <v>#REF!</v>
      </c>
      <c r="AE17" s="180">
        <f t="shared" si="4"/>
        <v>0</v>
      </c>
      <c r="AF17" s="180">
        <f t="shared" si="5"/>
        <v>0</v>
      </c>
      <c r="AG17" s="180" t="e">
        <f t="shared" si="6"/>
        <v>#REF!</v>
      </c>
      <c r="AH17" s="180" t="e">
        <f t="shared" si="7"/>
        <v>#REF!</v>
      </c>
      <c r="AI17" s="180" t="e">
        <f t="shared" si="8"/>
        <v>#REF!</v>
      </c>
      <c r="AJ17" s="180">
        <f t="shared" si="11"/>
        <v>0</v>
      </c>
      <c r="AK17" s="180">
        <f t="shared" si="12"/>
        <v>0</v>
      </c>
      <c r="AL17" s="180">
        <f t="shared" si="13"/>
        <v>0</v>
      </c>
      <c r="AM17" s="180">
        <f t="shared" si="14"/>
        <v>0</v>
      </c>
      <c r="AN17" s="181"/>
      <c r="AO17" s="180" t="e">
        <f t="shared" si="15"/>
        <v>#REF!</v>
      </c>
      <c r="AP17" s="118" t="e">
        <f t="shared" si="9"/>
        <v>#REF!</v>
      </c>
      <c r="AQ17" s="118" t="e">
        <f t="shared" si="10"/>
        <v>#REF!</v>
      </c>
      <c r="AR17" s="118" t="e">
        <f t="shared" si="16"/>
        <v>#REF!</v>
      </c>
      <c r="AS17" s="125"/>
      <c r="AT17" s="126"/>
    </row>
    <row r="18" spans="1:46" s="109" customFormat="1" ht="18.899999999999999" customHeight="1">
      <c r="A18" s="312"/>
      <c r="B18" s="255" t="str">
        <f>'Activity data -Head Office'!A15</f>
        <v>Gasohol 95 รถตู้ของบริษัท (2ขล 9545, ฎค9779, ฎพ9779, ฮฐ6328)</v>
      </c>
      <c r="C18" s="256" t="str">
        <f>'Activity data -Head Office'!E15</f>
        <v>Litre</v>
      </c>
      <c r="D18" s="259">
        <f>'Activity data -Head Office'!F15</f>
        <v>7559.43</v>
      </c>
      <c r="E18" s="254" t="e">
        <f>#REF!</f>
        <v>#REF!</v>
      </c>
      <c r="F18" s="254" t="e">
        <f>#REF!</f>
        <v>#REF!</v>
      </c>
      <c r="G18" s="254" t="e">
        <f>#REF!</f>
        <v>#REF!</v>
      </c>
      <c r="H18" s="254" t="e">
        <f>#REF!</f>
        <v>#REF!</v>
      </c>
      <c r="I18" s="270">
        <v>0</v>
      </c>
      <c r="J18" s="270">
        <v>0</v>
      </c>
      <c r="K18" s="270">
        <v>0</v>
      </c>
      <c r="L18" s="270">
        <v>0</v>
      </c>
      <c r="M18" s="270">
        <v>0</v>
      </c>
      <c r="N18" s="270">
        <v>0</v>
      </c>
      <c r="O18" s="117"/>
      <c r="P18" s="120"/>
      <c r="Q18" s="263" t="e">
        <f t="shared" si="17"/>
        <v>#REF!</v>
      </c>
      <c r="R18" s="254"/>
      <c r="S18" s="254"/>
      <c r="T18" s="254"/>
      <c r="U18" s="254" t="s">
        <v>17</v>
      </c>
      <c r="V18" s="254"/>
      <c r="W18" s="254"/>
      <c r="X18" s="254"/>
      <c r="Y18" s="254"/>
      <c r="Z18" s="182" t="s">
        <v>70</v>
      </c>
      <c r="AA18" s="180" t="e">
        <f t="shared" si="0"/>
        <v>#REF!</v>
      </c>
      <c r="AB18" s="180" t="e">
        <f t="shared" si="1"/>
        <v>#REF!</v>
      </c>
      <c r="AC18" s="180" t="e">
        <f t="shared" si="2"/>
        <v>#REF!</v>
      </c>
      <c r="AD18" s="180" t="e">
        <f t="shared" si="3"/>
        <v>#REF!</v>
      </c>
      <c r="AE18" s="180">
        <f t="shared" si="4"/>
        <v>0</v>
      </c>
      <c r="AF18" s="180">
        <f t="shared" si="5"/>
        <v>0</v>
      </c>
      <c r="AG18" s="180" t="e">
        <f t="shared" si="6"/>
        <v>#REF!</v>
      </c>
      <c r="AH18" s="180" t="e">
        <f t="shared" si="7"/>
        <v>#REF!</v>
      </c>
      <c r="AI18" s="180" t="e">
        <f t="shared" si="8"/>
        <v>#REF!</v>
      </c>
      <c r="AJ18" s="180">
        <f t="shared" si="11"/>
        <v>0</v>
      </c>
      <c r="AK18" s="180">
        <f t="shared" si="12"/>
        <v>0</v>
      </c>
      <c r="AL18" s="180">
        <f t="shared" si="13"/>
        <v>0</v>
      </c>
      <c r="AM18" s="180">
        <f t="shared" si="14"/>
        <v>0</v>
      </c>
      <c r="AN18" s="181"/>
      <c r="AO18" s="180" t="e">
        <f t="shared" si="15"/>
        <v>#REF!</v>
      </c>
      <c r="AP18" s="118" t="e">
        <f t="shared" si="9"/>
        <v>#REF!</v>
      </c>
      <c r="AQ18" s="118" t="e">
        <f t="shared" si="10"/>
        <v>#REF!</v>
      </c>
      <c r="AR18" s="118" t="e">
        <f t="shared" si="16"/>
        <v>#REF!</v>
      </c>
      <c r="AS18" s="125"/>
      <c r="AT18" s="126"/>
    </row>
    <row r="19" spans="1:46" s="109" customFormat="1" ht="18.899999999999999" customHeight="1">
      <c r="A19" s="312"/>
      <c r="B19" s="177" t="s">
        <v>11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9"/>
      <c r="O19" s="117"/>
      <c r="P19" s="120"/>
      <c r="Q19" s="360"/>
      <c r="R19" s="358"/>
      <c r="S19" s="358"/>
      <c r="T19" s="358"/>
      <c r="U19" s="358"/>
      <c r="V19" s="358"/>
      <c r="W19" s="358"/>
      <c r="X19" s="358"/>
      <c r="Y19" s="358"/>
      <c r="Z19" s="358"/>
      <c r="AA19" s="180">
        <f t="shared" si="0"/>
        <v>0</v>
      </c>
      <c r="AB19" s="180">
        <f t="shared" si="1"/>
        <v>0</v>
      </c>
      <c r="AC19" s="180">
        <f t="shared" si="2"/>
        <v>0</v>
      </c>
      <c r="AD19" s="180">
        <f t="shared" si="3"/>
        <v>0</v>
      </c>
      <c r="AE19" s="180">
        <f t="shared" si="4"/>
        <v>0</v>
      </c>
      <c r="AF19" s="180">
        <f t="shared" si="5"/>
        <v>0</v>
      </c>
      <c r="AG19" s="180">
        <f t="shared" si="6"/>
        <v>0</v>
      </c>
      <c r="AH19" s="180">
        <f t="shared" si="7"/>
        <v>0</v>
      </c>
      <c r="AI19" s="180">
        <f t="shared" si="8"/>
        <v>0</v>
      </c>
      <c r="AJ19" s="180">
        <f t="shared" si="11"/>
        <v>0</v>
      </c>
      <c r="AK19" s="180">
        <f t="shared" si="12"/>
        <v>0</v>
      </c>
      <c r="AL19" s="180">
        <f t="shared" si="13"/>
        <v>0</v>
      </c>
      <c r="AM19" s="180">
        <f t="shared" si="14"/>
        <v>0</v>
      </c>
      <c r="AN19" s="181"/>
      <c r="AO19" s="180">
        <f t="shared" si="15"/>
        <v>0</v>
      </c>
      <c r="AP19" s="118" t="e">
        <f t="shared" si="9"/>
        <v>#REF!</v>
      </c>
      <c r="AQ19" s="118" t="e">
        <f t="shared" si="10"/>
        <v>#REF!</v>
      </c>
      <c r="AR19" s="118" t="e">
        <f t="shared" si="16"/>
        <v>#REF!</v>
      </c>
      <c r="AS19" s="128"/>
      <c r="AT19" s="126"/>
    </row>
    <row r="20" spans="1:46" s="109" customFormat="1" ht="18.899999999999999" customHeight="1">
      <c r="A20" s="312"/>
      <c r="B20" s="264" t="s">
        <v>9</v>
      </c>
      <c r="C20" s="257"/>
      <c r="D20" s="257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117"/>
      <c r="P20" s="120"/>
      <c r="Q20" s="263"/>
      <c r="R20" s="254"/>
      <c r="S20" s="254"/>
      <c r="T20" s="254"/>
      <c r="U20" s="254"/>
      <c r="V20" s="254"/>
      <c r="W20" s="254"/>
      <c r="X20" s="254"/>
      <c r="Y20" s="254"/>
      <c r="Z20" s="237"/>
      <c r="AA20" s="180">
        <f t="shared" si="0"/>
        <v>0</v>
      </c>
      <c r="AB20" s="180">
        <f t="shared" si="1"/>
        <v>0</v>
      </c>
      <c r="AC20" s="180">
        <f t="shared" si="2"/>
        <v>0</v>
      </c>
      <c r="AD20" s="180">
        <f t="shared" si="3"/>
        <v>0</v>
      </c>
      <c r="AE20" s="180">
        <f t="shared" si="4"/>
        <v>0</v>
      </c>
      <c r="AF20" s="180">
        <f t="shared" si="5"/>
        <v>0</v>
      </c>
      <c r="AG20" s="180">
        <f t="shared" si="6"/>
        <v>0</v>
      </c>
      <c r="AH20" s="180">
        <f t="shared" si="7"/>
        <v>0</v>
      </c>
      <c r="AI20" s="180">
        <f t="shared" si="8"/>
        <v>0</v>
      </c>
      <c r="AJ20" s="180">
        <f t="shared" si="11"/>
        <v>0</v>
      </c>
      <c r="AK20" s="180">
        <f t="shared" si="12"/>
        <v>0</v>
      </c>
      <c r="AL20" s="180">
        <f t="shared" si="13"/>
        <v>0</v>
      </c>
      <c r="AM20" s="180">
        <f t="shared" si="14"/>
        <v>0</v>
      </c>
      <c r="AN20" s="181"/>
      <c r="AO20" s="180">
        <f t="shared" si="15"/>
        <v>0</v>
      </c>
      <c r="AP20" s="118" t="e">
        <f t="shared" si="9"/>
        <v>#REF!</v>
      </c>
      <c r="AQ20" s="118" t="e">
        <f t="shared" si="10"/>
        <v>#REF!</v>
      </c>
      <c r="AR20" s="118" t="e">
        <f t="shared" si="16"/>
        <v>#REF!</v>
      </c>
      <c r="AS20" s="129"/>
      <c r="AT20" s="126"/>
    </row>
    <row r="21" spans="1:46" s="109" customFormat="1" ht="18.899999999999999" customHeight="1">
      <c r="A21" s="312"/>
      <c r="B21" s="177" t="s">
        <v>203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9"/>
      <c r="O21" s="117"/>
      <c r="P21" s="120"/>
      <c r="Q21" s="360"/>
      <c r="R21" s="358"/>
      <c r="S21" s="358"/>
      <c r="T21" s="358"/>
      <c r="U21" s="358"/>
      <c r="V21" s="358"/>
      <c r="W21" s="358"/>
      <c r="X21" s="358"/>
      <c r="Y21" s="358"/>
      <c r="Z21" s="358"/>
      <c r="AA21" s="180">
        <f t="shared" si="0"/>
        <v>0</v>
      </c>
      <c r="AB21" s="180">
        <f t="shared" si="1"/>
        <v>0</v>
      </c>
      <c r="AC21" s="180">
        <f t="shared" si="2"/>
        <v>0</v>
      </c>
      <c r="AD21" s="180">
        <f t="shared" si="3"/>
        <v>0</v>
      </c>
      <c r="AE21" s="180">
        <f t="shared" si="4"/>
        <v>0</v>
      </c>
      <c r="AF21" s="180">
        <f t="shared" si="5"/>
        <v>0</v>
      </c>
      <c r="AG21" s="180">
        <f t="shared" si="6"/>
        <v>0</v>
      </c>
      <c r="AH21" s="180">
        <f t="shared" si="7"/>
        <v>0</v>
      </c>
      <c r="AI21" s="180">
        <f t="shared" si="8"/>
        <v>0</v>
      </c>
      <c r="AJ21" s="180">
        <f t="shared" si="11"/>
        <v>0</v>
      </c>
      <c r="AK21" s="180">
        <f t="shared" si="12"/>
        <v>0</v>
      </c>
      <c r="AL21" s="180">
        <f t="shared" si="13"/>
        <v>0</v>
      </c>
      <c r="AM21" s="180">
        <f t="shared" si="14"/>
        <v>0</v>
      </c>
      <c r="AN21" s="181"/>
      <c r="AO21" s="180">
        <f t="shared" si="15"/>
        <v>0</v>
      </c>
      <c r="AP21" s="118" t="e">
        <f t="shared" si="9"/>
        <v>#REF!</v>
      </c>
      <c r="AQ21" s="118" t="e">
        <f t="shared" si="10"/>
        <v>#REF!</v>
      </c>
      <c r="AR21" s="118" t="e">
        <f t="shared" si="16"/>
        <v>#REF!</v>
      </c>
      <c r="AS21" s="128"/>
      <c r="AT21" s="126"/>
    </row>
    <row r="22" spans="1:46" s="109" customFormat="1" ht="18.899999999999999" customHeight="1">
      <c r="A22" s="312"/>
      <c r="B22" s="195" t="s">
        <v>175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7"/>
      <c r="O22" s="117"/>
      <c r="P22" s="120"/>
      <c r="Q22" s="363"/>
      <c r="R22" s="364"/>
      <c r="S22" s="364"/>
      <c r="T22" s="364"/>
      <c r="U22" s="364"/>
      <c r="V22" s="364"/>
      <c r="W22" s="364"/>
      <c r="X22" s="364"/>
      <c r="Y22" s="364"/>
      <c r="Z22" s="364"/>
      <c r="AA22" s="180">
        <f t="shared" si="0"/>
        <v>0</v>
      </c>
      <c r="AB22" s="180">
        <f t="shared" si="1"/>
        <v>0</v>
      </c>
      <c r="AC22" s="180">
        <f t="shared" si="2"/>
        <v>0</v>
      </c>
      <c r="AD22" s="180">
        <f t="shared" si="3"/>
        <v>0</v>
      </c>
      <c r="AE22" s="180">
        <f t="shared" si="4"/>
        <v>0</v>
      </c>
      <c r="AF22" s="180">
        <f t="shared" si="5"/>
        <v>0</v>
      </c>
      <c r="AG22" s="180">
        <f t="shared" si="6"/>
        <v>0</v>
      </c>
      <c r="AH22" s="180">
        <f t="shared" si="7"/>
        <v>0</v>
      </c>
      <c r="AI22" s="180">
        <f t="shared" si="8"/>
        <v>0</v>
      </c>
      <c r="AJ22" s="180">
        <f t="shared" si="11"/>
        <v>0</v>
      </c>
      <c r="AK22" s="180">
        <f t="shared" si="12"/>
        <v>0</v>
      </c>
      <c r="AL22" s="180">
        <f t="shared" si="13"/>
        <v>0</v>
      </c>
      <c r="AM22" s="180">
        <f t="shared" si="14"/>
        <v>0</v>
      </c>
      <c r="AN22" s="181"/>
      <c r="AO22" s="180">
        <f t="shared" si="15"/>
        <v>0</v>
      </c>
      <c r="AP22" s="118" t="e">
        <f t="shared" si="9"/>
        <v>#REF!</v>
      </c>
      <c r="AQ22" s="118" t="e">
        <f t="shared" si="10"/>
        <v>#REF!</v>
      </c>
      <c r="AR22" s="118" t="e">
        <f t="shared" si="16"/>
        <v>#REF!</v>
      </c>
      <c r="AS22" s="129"/>
      <c r="AT22" s="126"/>
    </row>
    <row r="23" spans="1:46" s="109" customFormat="1" ht="18.899999999999999" customHeight="1">
      <c r="A23" s="312"/>
      <c r="B23" s="235" t="str">
        <f>'Activity data -Head Office'!A20</f>
        <v>HFC-32</v>
      </c>
      <c r="C23" s="256" t="str">
        <f>'Activity data -Head Office'!E20</f>
        <v>kg/year</v>
      </c>
      <c r="D23" s="272">
        <f>'Activity data -Head Office'!F20</f>
        <v>2.7610000000000001</v>
      </c>
      <c r="E23" s="262">
        <v>0</v>
      </c>
      <c r="F23" s="262">
        <v>0</v>
      </c>
      <c r="G23" s="262">
        <v>0</v>
      </c>
      <c r="H23" s="262">
        <v>0</v>
      </c>
      <c r="I23" s="262">
        <v>0</v>
      </c>
      <c r="J23" s="262">
        <v>0</v>
      </c>
      <c r="K23" s="262">
        <v>1</v>
      </c>
      <c r="L23" s="262">
        <v>0</v>
      </c>
      <c r="M23" s="262">
        <v>677</v>
      </c>
      <c r="N23" s="262">
        <v>0</v>
      </c>
      <c r="O23" s="117"/>
      <c r="P23" s="120"/>
      <c r="Q23" s="121">
        <f>(E23*$AV$8)+(F23*$AV$9)+(G23*$AV$10)+(H23*$AV$11)+(I23*$AV$12)+(J23*$AV$13)+(K23*M23)+(L23*N23)</f>
        <v>677</v>
      </c>
      <c r="R23" s="122"/>
      <c r="S23" s="254"/>
      <c r="T23" s="254"/>
      <c r="U23" s="37" t="s">
        <v>17</v>
      </c>
      <c r="V23" s="37"/>
      <c r="W23" s="37"/>
      <c r="X23" s="37"/>
      <c r="Y23" s="37"/>
      <c r="Z23" s="182" t="s">
        <v>145</v>
      </c>
      <c r="AA23" s="180">
        <f t="shared" si="0"/>
        <v>0</v>
      </c>
      <c r="AB23" s="180">
        <f t="shared" si="1"/>
        <v>0</v>
      </c>
      <c r="AC23" s="180">
        <f t="shared" si="2"/>
        <v>0</v>
      </c>
      <c r="AD23" s="180">
        <f t="shared" si="3"/>
        <v>0</v>
      </c>
      <c r="AE23" s="180">
        <f t="shared" si="4"/>
        <v>0</v>
      </c>
      <c r="AF23" s="180">
        <f t="shared" si="5"/>
        <v>0</v>
      </c>
      <c r="AG23" s="180">
        <f t="shared" si="6"/>
        <v>0</v>
      </c>
      <c r="AH23" s="180">
        <f t="shared" si="7"/>
        <v>0</v>
      </c>
      <c r="AI23" s="180">
        <f t="shared" si="8"/>
        <v>0</v>
      </c>
      <c r="AJ23" s="180">
        <f t="shared" si="11"/>
        <v>0</v>
      </c>
      <c r="AK23" s="180">
        <f t="shared" si="12"/>
        <v>0</v>
      </c>
      <c r="AL23" s="180">
        <f t="shared" si="13"/>
        <v>1.8691970000000002</v>
      </c>
      <c r="AM23" s="180">
        <f t="shared" si="14"/>
        <v>0</v>
      </c>
      <c r="AN23" s="181"/>
      <c r="AO23" s="180">
        <f t="shared" si="15"/>
        <v>1.8691970000000002</v>
      </c>
      <c r="AP23" s="118" t="e">
        <f t="shared" si="9"/>
        <v>#REF!</v>
      </c>
      <c r="AQ23" s="118" t="e">
        <f t="shared" si="10"/>
        <v>#REF!</v>
      </c>
      <c r="AR23" s="118" t="e">
        <f t="shared" si="16"/>
        <v>#REF!</v>
      </c>
      <c r="AS23" s="129"/>
      <c r="AT23" s="126"/>
    </row>
    <row r="24" spans="1:46" s="109" customFormat="1" ht="18.899999999999999" customHeight="1">
      <c r="A24" s="312"/>
      <c r="B24" s="235" t="str">
        <f>'Activity data -Head Office'!A21</f>
        <v>HFC-410a</v>
      </c>
      <c r="C24" s="256" t="str">
        <f>'Activity data -Head Office'!E21</f>
        <v>kg/year</v>
      </c>
      <c r="D24" s="272">
        <f>'Activity data -Head Office'!F21</f>
        <v>0.28000000000000003</v>
      </c>
      <c r="E24" s="262">
        <v>0</v>
      </c>
      <c r="F24" s="262">
        <v>0</v>
      </c>
      <c r="G24" s="262">
        <v>0</v>
      </c>
      <c r="H24" s="262">
        <v>0</v>
      </c>
      <c r="I24" s="262">
        <v>0</v>
      </c>
      <c r="J24" s="262">
        <v>0</v>
      </c>
      <c r="K24" s="262">
        <v>1</v>
      </c>
      <c r="L24" s="262">
        <v>0</v>
      </c>
      <c r="M24" s="262">
        <v>1923.5</v>
      </c>
      <c r="N24" s="262">
        <v>0</v>
      </c>
      <c r="O24" s="117"/>
      <c r="P24" s="120"/>
      <c r="Q24" s="263">
        <f>(E24*$AV$8)+(F24*$AV$9)+(G24*$AV$10)+(H24*$AV$11)+(I24*$AV$12)+(J24*$AV$13)+(K24*M24)+(L24*N24)</f>
        <v>1923.5</v>
      </c>
      <c r="R24" s="122"/>
      <c r="S24" s="254"/>
      <c r="T24" s="254"/>
      <c r="U24" s="37"/>
      <c r="V24" s="37"/>
      <c r="W24" s="37"/>
      <c r="X24" s="37" t="s">
        <v>17</v>
      </c>
      <c r="Y24" s="37"/>
      <c r="Z24" s="43" t="s">
        <v>214</v>
      </c>
      <c r="AA24" s="180">
        <f t="shared" si="0"/>
        <v>0</v>
      </c>
      <c r="AB24" s="180">
        <f t="shared" si="1"/>
        <v>0</v>
      </c>
      <c r="AC24" s="180">
        <f t="shared" si="2"/>
        <v>0</v>
      </c>
      <c r="AD24" s="180">
        <f t="shared" si="3"/>
        <v>0</v>
      </c>
      <c r="AE24" s="180">
        <f t="shared" si="4"/>
        <v>0</v>
      </c>
      <c r="AF24" s="180">
        <f t="shared" si="5"/>
        <v>0</v>
      </c>
      <c r="AG24" s="180">
        <f t="shared" si="6"/>
        <v>0</v>
      </c>
      <c r="AH24" s="180">
        <f t="shared" si="7"/>
        <v>0</v>
      </c>
      <c r="AI24" s="180">
        <f t="shared" si="8"/>
        <v>0</v>
      </c>
      <c r="AJ24" s="180">
        <f t="shared" si="11"/>
        <v>0</v>
      </c>
      <c r="AK24" s="180">
        <f t="shared" si="12"/>
        <v>0</v>
      </c>
      <c r="AL24" s="180">
        <f t="shared" si="13"/>
        <v>0.53858000000000006</v>
      </c>
      <c r="AM24" s="180">
        <f t="shared" si="14"/>
        <v>0</v>
      </c>
      <c r="AN24" s="181"/>
      <c r="AO24" s="180">
        <f t="shared" si="15"/>
        <v>0.53858000000000006</v>
      </c>
      <c r="AP24" s="118" t="e">
        <f t="shared" si="9"/>
        <v>#REF!</v>
      </c>
      <c r="AQ24" s="118" t="e">
        <f t="shared" si="10"/>
        <v>#REF!</v>
      </c>
      <c r="AR24" s="118" t="e">
        <f t="shared" si="16"/>
        <v>#REF!</v>
      </c>
      <c r="AS24" s="129"/>
      <c r="AT24" s="126"/>
    </row>
    <row r="25" spans="1:46" s="109" customFormat="1" ht="18.899999999999999" customHeight="1">
      <c r="A25" s="312"/>
      <c r="B25" s="255" t="str">
        <f>'Activity data -Head Office'!A23</f>
        <v>สารดับเพลิงชนิด CO2 (ไม่มีการใช้งาน)</v>
      </c>
      <c r="C25" s="256" t="str">
        <f>'Activity data -Head Office'!E23</f>
        <v>kg/year</v>
      </c>
      <c r="D25" s="272">
        <f>'Activity data -Head Office'!F23</f>
        <v>0</v>
      </c>
      <c r="E25" s="262">
        <v>1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1</v>
      </c>
      <c r="L25" s="262">
        <v>0</v>
      </c>
      <c r="M25" s="262">
        <v>0</v>
      </c>
      <c r="N25" s="262">
        <v>0</v>
      </c>
      <c r="O25" s="117"/>
      <c r="P25" s="120"/>
      <c r="Q25" s="263">
        <f>(E25*$AV$8)+(F25*$AV$9)+(G25*$AV$10)+(H25*$AV$11)+(I25*$AV$12)+(J25*$AV$13)+(K25*M25)+(L25*N25)</f>
        <v>1</v>
      </c>
      <c r="R25" s="122"/>
      <c r="S25" s="254"/>
      <c r="T25" s="254"/>
      <c r="U25" s="37"/>
      <c r="V25" s="37"/>
      <c r="W25" s="37"/>
      <c r="X25" s="37" t="s">
        <v>17</v>
      </c>
      <c r="Y25" s="37"/>
      <c r="Z25" s="43" t="s">
        <v>146</v>
      </c>
      <c r="AA25" s="180">
        <f t="shared" si="0"/>
        <v>0</v>
      </c>
      <c r="AB25" s="180">
        <f t="shared" si="1"/>
        <v>0</v>
      </c>
      <c r="AC25" s="180">
        <f t="shared" si="2"/>
        <v>0</v>
      </c>
      <c r="AD25" s="180">
        <f t="shared" si="3"/>
        <v>0</v>
      </c>
      <c r="AE25" s="180">
        <f t="shared" si="4"/>
        <v>0</v>
      </c>
      <c r="AF25" s="180">
        <f t="shared" si="5"/>
        <v>0</v>
      </c>
      <c r="AG25" s="180">
        <f t="shared" si="6"/>
        <v>0</v>
      </c>
      <c r="AH25" s="180">
        <f t="shared" si="7"/>
        <v>0</v>
      </c>
      <c r="AI25" s="180">
        <f t="shared" si="8"/>
        <v>0</v>
      </c>
      <c r="AJ25" s="180">
        <f t="shared" si="11"/>
        <v>0</v>
      </c>
      <c r="AK25" s="180">
        <f t="shared" si="12"/>
        <v>0</v>
      </c>
      <c r="AL25" s="180">
        <f t="shared" si="13"/>
        <v>0</v>
      </c>
      <c r="AM25" s="180">
        <f t="shared" si="14"/>
        <v>0</v>
      </c>
      <c r="AN25" s="181"/>
      <c r="AO25" s="180">
        <f>D25*Q25/1000</f>
        <v>0</v>
      </c>
      <c r="AP25" s="118" t="e">
        <f t="shared" si="9"/>
        <v>#REF!</v>
      </c>
      <c r="AQ25" s="118" t="e">
        <f t="shared" si="10"/>
        <v>#REF!</v>
      </c>
      <c r="AR25" s="118" t="e">
        <f t="shared" si="16"/>
        <v>#REF!</v>
      </c>
      <c r="AS25" s="128"/>
      <c r="AT25" s="126"/>
    </row>
    <row r="26" spans="1:46" s="109" customFormat="1" ht="18.899999999999999" customHeight="1">
      <c r="A26" s="312"/>
      <c r="B26" s="255" t="str">
        <f>'Activity data -Head Office'!A25</f>
        <v>CH4 from septic tank</v>
      </c>
      <c r="C26" s="256" t="str">
        <f>'Activity data -Head Office'!E25</f>
        <v>kgCH4</v>
      </c>
      <c r="D26" s="272" t="e">
        <f>#REF!</f>
        <v>#REF!</v>
      </c>
      <c r="E26" s="262">
        <v>0</v>
      </c>
      <c r="F26" s="262">
        <v>0</v>
      </c>
      <c r="G26" s="262">
        <v>1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117"/>
      <c r="P26" s="120"/>
      <c r="Q26" s="127">
        <f>(E26*$AV$8)+(F26*$AV$9)+(G26*$AV$10)+(H26*$AV$11)+(I26*$AV$12)+(J26*$AV$13)+(K26*M26)+(L26*N26)</f>
        <v>28</v>
      </c>
      <c r="R26" s="122"/>
      <c r="S26" s="254"/>
      <c r="T26" s="254"/>
      <c r="U26" s="37"/>
      <c r="V26" s="37"/>
      <c r="W26" s="37"/>
      <c r="X26" s="37" t="s">
        <v>17</v>
      </c>
      <c r="Y26" s="37"/>
      <c r="Z26" s="43" t="s">
        <v>148</v>
      </c>
      <c r="AA26" s="180" t="e">
        <f t="shared" si="0"/>
        <v>#REF!</v>
      </c>
      <c r="AB26" s="180" t="e">
        <f t="shared" si="1"/>
        <v>#REF!</v>
      </c>
      <c r="AC26" s="180" t="e">
        <f t="shared" si="2"/>
        <v>#REF!</v>
      </c>
      <c r="AD26" s="180" t="e">
        <f t="shared" si="3"/>
        <v>#REF!</v>
      </c>
      <c r="AE26" s="180" t="e">
        <f t="shared" si="4"/>
        <v>#REF!</v>
      </c>
      <c r="AF26" s="180" t="e">
        <f t="shared" si="5"/>
        <v>#REF!</v>
      </c>
      <c r="AG26" s="180" t="e">
        <f t="shared" si="6"/>
        <v>#REF!</v>
      </c>
      <c r="AH26" s="180" t="e">
        <f t="shared" si="7"/>
        <v>#REF!</v>
      </c>
      <c r="AI26" s="180" t="e">
        <f t="shared" si="8"/>
        <v>#REF!</v>
      </c>
      <c r="AJ26" s="180" t="e">
        <f t="shared" si="11"/>
        <v>#REF!</v>
      </c>
      <c r="AK26" s="180" t="e">
        <f t="shared" si="12"/>
        <v>#REF!</v>
      </c>
      <c r="AL26" s="180" t="e">
        <f t="shared" si="13"/>
        <v>#REF!</v>
      </c>
      <c r="AM26" s="180" t="e">
        <f t="shared" si="14"/>
        <v>#REF!</v>
      </c>
      <c r="AN26" s="181"/>
      <c r="AO26" s="180" t="e">
        <f>D26*Q26/1000</f>
        <v>#REF!</v>
      </c>
      <c r="AP26" s="118" t="e">
        <f t="shared" si="9"/>
        <v>#REF!</v>
      </c>
      <c r="AQ26" s="118" t="e">
        <f t="shared" si="10"/>
        <v>#REF!</v>
      </c>
      <c r="AR26" s="118" t="e">
        <f t="shared" si="16"/>
        <v>#REF!</v>
      </c>
      <c r="AS26" s="129"/>
      <c r="AT26" s="126"/>
    </row>
    <row r="27" spans="1:46" s="109" customFormat="1" ht="18.899999999999999" customHeight="1">
      <c r="A27" s="312"/>
      <c r="B27" s="177" t="s">
        <v>14</v>
      </c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9"/>
      <c r="O27" s="117"/>
      <c r="P27" s="120"/>
      <c r="Q27" s="359"/>
      <c r="R27" s="358"/>
      <c r="S27" s="358"/>
      <c r="T27" s="358"/>
      <c r="U27" s="358"/>
      <c r="V27" s="358"/>
      <c r="W27" s="358"/>
      <c r="X27" s="358"/>
      <c r="Y27" s="358"/>
      <c r="Z27" s="358"/>
      <c r="AA27" s="180">
        <f t="shared" si="0"/>
        <v>0</v>
      </c>
      <c r="AB27" s="180">
        <f t="shared" si="1"/>
        <v>0</v>
      </c>
      <c r="AC27" s="180">
        <f t="shared" si="2"/>
        <v>0</v>
      </c>
      <c r="AD27" s="180">
        <f t="shared" si="3"/>
        <v>0</v>
      </c>
      <c r="AE27" s="180">
        <f t="shared" si="4"/>
        <v>0</v>
      </c>
      <c r="AF27" s="180">
        <f t="shared" si="5"/>
        <v>0</v>
      </c>
      <c r="AG27" s="180">
        <f t="shared" si="6"/>
        <v>0</v>
      </c>
      <c r="AH27" s="180">
        <f t="shared" si="7"/>
        <v>0</v>
      </c>
      <c r="AI27" s="180">
        <f t="shared" si="8"/>
        <v>0</v>
      </c>
      <c r="AJ27" s="180">
        <f t="shared" si="11"/>
        <v>0</v>
      </c>
      <c r="AK27" s="180">
        <f t="shared" si="12"/>
        <v>0</v>
      </c>
      <c r="AL27" s="180">
        <f t="shared" si="13"/>
        <v>0</v>
      </c>
      <c r="AM27" s="180">
        <f t="shared" si="14"/>
        <v>0</v>
      </c>
      <c r="AN27" s="181"/>
      <c r="AO27" s="180">
        <f>D27*Q27/1000</f>
        <v>0</v>
      </c>
      <c r="AP27" s="118" t="e">
        <f t="shared" si="9"/>
        <v>#REF!</v>
      </c>
      <c r="AQ27" s="118" t="e">
        <f t="shared" si="10"/>
        <v>#REF!</v>
      </c>
      <c r="AR27" s="118" t="e">
        <f t="shared" si="16"/>
        <v>#REF!</v>
      </c>
      <c r="AS27" s="129"/>
      <c r="AT27" s="126"/>
    </row>
    <row r="28" spans="1:46" s="109" customFormat="1" ht="18.899999999999999" customHeight="1">
      <c r="A28" s="312"/>
      <c r="B28" s="264" t="s">
        <v>9</v>
      </c>
      <c r="C28" s="266"/>
      <c r="D28" s="266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117"/>
      <c r="P28" s="120"/>
      <c r="Q28" s="263"/>
      <c r="R28" s="267"/>
      <c r="S28" s="267"/>
      <c r="T28" s="267"/>
      <c r="U28" s="267"/>
      <c r="V28" s="267"/>
      <c r="W28" s="267"/>
      <c r="X28" s="267"/>
      <c r="Y28" s="267"/>
      <c r="Z28" s="238"/>
      <c r="AA28" s="180">
        <f t="shared" si="0"/>
        <v>0</v>
      </c>
      <c r="AB28" s="180">
        <f t="shared" si="1"/>
        <v>0</v>
      </c>
      <c r="AC28" s="180">
        <f t="shared" si="2"/>
        <v>0</v>
      </c>
      <c r="AD28" s="180">
        <f t="shared" si="3"/>
        <v>0</v>
      </c>
      <c r="AE28" s="180">
        <f t="shared" si="4"/>
        <v>0</v>
      </c>
      <c r="AF28" s="180">
        <f t="shared" si="5"/>
        <v>0</v>
      </c>
      <c r="AG28" s="180">
        <f t="shared" si="6"/>
        <v>0</v>
      </c>
      <c r="AH28" s="180">
        <f t="shared" si="7"/>
        <v>0</v>
      </c>
      <c r="AI28" s="180">
        <f t="shared" si="8"/>
        <v>0</v>
      </c>
      <c r="AJ28" s="180">
        <f t="shared" si="11"/>
        <v>0</v>
      </c>
      <c r="AK28" s="180">
        <f t="shared" si="12"/>
        <v>0</v>
      </c>
      <c r="AL28" s="180">
        <f t="shared" si="13"/>
        <v>0</v>
      </c>
      <c r="AM28" s="180">
        <f t="shared" si="14"/>
        <v>0</v>
      </c>
      <c r="AN28" s="181"/>
      <c r="AO28" s="180">
        <f>D28*Q28/1000</f>
        <v>0</v>
      </c>
      <c r="AP28" s="118" t="e">
        <f t="shared" si="9"/>
        <v>#REF!</v>
      </c>
      <c r="AQ28" s="118" t="e">
        <f t="shared" si="10"/>
        <v>#REF!</v>
      </c>
      <c r="AR28" s="118" t="e">
        <f t="shared" si="16"/>
        <v>#REF!</v>
      </c>
      <c r="AS28" s="129"/>
      <c r="AT28" s="126"/>
    </row>
    <row r="29" spans="1:46" s="109" customFormat="1" ht="18.899999999999999" customHeight="1">
      <c r="A29" s="313"/>
      <c r="B29" s="130"/>
      <c r="C29" s="131"/>
      <c r="D29" s="132"/>
      <c r="E29" s="355"/>
      <c r="F29" s="356"/>
      <c r="G29" s="356"/>
      <c r="H29" s="356"/>
      <c r="I29" s="356"/>
      <c r="J29" s="356"/>
      <c r="K29" s="356"/>
      <c r="L29" s="356"/>
      <c r="M29" s="356"/>
      <c r="N29" s="356"/>
      <c r="O29" s="314"/>
      <c r="P29" s="314"/>
      <c r="Q29" s="306"/>
      <c r="R29" s="133"/>
      <c r="S29" s="133"/>
      <c r="T29" s="133"/>
      <c r="U29" s="133"/>
      <c r="V29" s="133"/>
      <c r="W29" s="133"/>
      <c r="X29" s="133"/>
      <c r="Y29" s="133"/>
      <c r="Z29" s="133"/>
      <c r="AA29" s="134" t="e">
        <f t="shared" ref="AA29:AP29" si="18">SUM(AA10:AA28)</f>
        <v>#REF!</v>
      </c>
      <c r="AB29" s="134" t="e">
        <f t="shared" si="18"/>
        <v>#REF!</v>
      </c>
      <c r="AC29" s="134" t="e">
        <f t="shared" si="18"/>
        <v>#REF!</v>
      </c>
      <c r="AD29" s="134" t="e">
        <f t="shared" si="18"/>
        <v>#REF!</v>
      </c>
      <c r="AE29" s="134" t="e">
        <f t="shared" si="18"/>
        <v>#REF!</v>
      </c>
      <c r="AF29" s="135" t="e">
        <f t="shared" si="18"/>
        <v>#REF!</v>
      </c>
      <c r="AG29" s="135" t="e">
        <f t="shared" si="18"/>
        <v>#REF!</v>
      </c>
      <c r="AH29" s="134" t="e">
        <f t="shared" si="18"/>
        <v>#REF!</v>
      </c>
      <c r="AI29" s="134" t="e">
        <f t="shared" si="18"/>
        <v>#REF!</v>
      </c>
      <c r="AJ29" s="134" t="e">
        <f t="shared" si="18"/>
        <v>#REF!</v>
      </c>
      <c r="AK29" s="134" t="e">
        <f t="shared" si="18"/>
        <v>#REF!</v>
      </c>
      <c r="AL29" s="134" t="e">
        <f t="shared" si="18"/>
        <v>#REF!</v>
      </c>
      <c r="AM29" s="134" t="e">
        <f t="shared" si="18"/>
        <v>#REF!</v>
      </c>
      <c r="AN29" s="134">
        <f t="shared" si="18"/>
        <v>0</v>
      </c>
      <c r="AO29" s="134" t="e">
        <f t="shared" si="18"/>
        <v>#REF!</v>
      </c>
      <c r="AP29" s="136" t="e">
        <f t="shared" si="18"/>
        <v>#REF!</v>
      </c>
      <c r="AQ29" s="136"/>
      <c r="AR29" s="136"/>
      <c r="AS29" s="137"/>
    </row>
    <row r="30" spans="1:46" s="109" customFormat="1" ht="18.899999999999999" customHeight="1">
      <c r="A30" s="307" t="s">
        <v>71</v>
      </c>
      <c r="B30" s="255"/>
      <c r="C30" s="256"/>
      <c r="D30" s="138"/>
      <c r="E30" s="139">
        <v>0</v>
      </c>
      <c r="F30" s="140"/>
      <c r="G30" s="141"/>
      <c r="H30" s="141"/>
      <c r="I30" s="141"/>
      <c r="J30" s="141"/>
      <c r="K30" s="141"/>
      <c r="L30" s="141"/>
      <c r="M30" s="141"/>
      <c r="N30" s="142"/>
      <c r="O30" s="139"/>
      <c r="P30" s="139"/>
      <c r="Q30" s="183"/>
      <c r="R30" s="254"/>
      <c r="S30" s="254"/>
      <c r="T30" s="254"/>
      <c r="U30" s="37"/>
      <c r="V30" s="37"/>
      <c r="W30" s="37"/>
      <c r="X30" s="37"/>
      <c r="Y30" s="37"/>
      <c r="Z30" s="41"/>
      <c r="AA30" s="123"/>
      <c r="AB30" s="143"/>
      <c r="AC30" s="144"/>
      <c r="AD30" s="144"/>
      <c r="AE30" s="144"/>
      <c r="AF30" s="145"/>
      <c r="AG30" s="145"/>
      <c r="AH30" s="144"/>
      <c r="AI30" s="144"/>
      <c r="AJ30" s="144"/>
      <c r="AK30" s="144"/>
      <c r="AL30" s="144"/>
      <c r="AM30" s="144"/>
      <c r="AN30" s="123"/>
      <c r="AO30" s="123"/>
      <c r="AP30" s="124"/>
      <c r="AQ30" s="124"/>
      <c r="AR30" s="124"/>
      <c r="AS30" s="125"/>
    </row>
    <row r="31" spans="1:46" s="109" customFormat="1" ht="18.899999999999999" customHeight="1">
      <c r="A31" s="308"/>
      <c r="B31" s="249"/>
      <c r="C31" s="236"/>
      <c r="D31" s="250"/>
      <c r="E31" s="237"/>
      <c r="F31" s="252"/>
      <c r="G31" s="146"/>
      <c r="H31" s="120"/>
      <c r="I31" s="120"/>
      <c r="J31" s="120"/>
      <c r="K31" s="120"/>
      <c r="L31" s="120"/>
      <c r="M31" s="120"/>
      <c r="N31" s="117"/>
      <c r="O31" s="254"/>
      <c r="P31" s="254"/>
      <c r="Q31" s="183"/>
      <c r="R31" s="254"/>
      <c r="S31" s="254"/>
      <c r="T31" s="254"/>
      <c r="U31" s="254"/>
      <c r="V31" s="254"/>
      <c r="W31" s="254"/>
      <c r="X31" s="254"/>
      <c r="Y31" s="254"/>
      <c r="Z31" s="254"/>
      <c r="AA31" s="183"/>
      <c r="AB31" s="260"/>
      <c r="AC31" s="145"/>
      <c r="AD31" s="147"/>
      <c r="AE31" s="147"/>
      <c r="AF31" s="145"/>
      <c r="AG31" s="145"/>
      <c r="AH31" s="145"/>
      <c r="AI31" s="147"/>
      <c r="AJ31" s="147"/>
      <c r="AK31" s="147"/>
      <c r="AL31" s="147"/>
      <c r="AM31" s="147"/>
      <c r="AN31" s="123"/>
      <c r="AO31" s="123"/>
      <c r="AP31" s="124"/>
      <c r="AQ31" s="124"/>
      <c r="AR31" s="124"/>
      <c r="AS31" s="148"/>
    </row>
    <row r="32" spans="1:46" s="109" customFormat="1" ht="18.899999999999999" customHeight="1">
      <c r="A32" s="308"/>
      <c r="B32" s="272"/>
      <c r="C32" s="236"/>
      <c r="D32" s="250"/>
      <c r="E32" s="237"/>
      <c r="F32" s="252"/>
      <c r="G32" s="146"/>
      <c r="H32" s="120"/>
      <c r="I32" s="120"/>
      <c r="J32" s="120"/>
      <c r="K32" s="120"/>
      <c r="L32" s="120"/>
      <c r="M32" s="120"/>
      <c r="N32" s="117"/>
      <c r="O32" s="254"/>
      <c r="P32" s="254"/>
      <c r="Q32" s="183"/>
      <c r="R32" s="254"/>
      <c r="S32" s="254"/>
      <c r="T32" s="254"/>
      <c r="U32" s="254"/>
      <c r="V32" s="254"/>
      <c r="W32" s="254"/>
      <c r="X32" s="254"/>
      <c r="Y32" s="254"/>
      <c r="Z32" s="254"/>
      <c r="AA32" s="183"/>
      <c r="AB32" s="260"/>
      <c r="AC32" s="145"/>
      <c r="AD32" s="147"/>
      <c r="AE32" s="147"/>
      <c r="AF32" s="145"/>
      <c r="AG32" s="145"/>
      <c r="AH32" s="145"/>
      <c r="AI32" s="147"/>
      <c r="AJ32" s="147"/>
      <c r="AK32" s="147"/>
      <c r="AL32" s="147"/>
      <c r="AM32" s="147"/>
      <c r="AN32" s="123"/>
      <c r="AO32" s="123"/>
      <c r="AP32" s="124"/>
      <c r="AQ32" s="124"/>
      <c r="AR32" s="124"/>
      <c r="AS32" s="148"/>
    </row>
    <row r="33" spans="1:47" s="109" customFormat="1" ht="18.899999999999999" customHeight="1">
      <c r="A33" s="308"/>
      <c r="B33" s="249"/>
      <c r="C33" s="236"/>
      <c r="D33" s="250"/>
      <c r="E33" s="251"/>
      <c r="F33" s="252"/>
      <c r="G33" s="146"/>
      <c r="H33" s="120"/>
      <c r="I33" s="120"/>
      <c r="J33" s="120"/>
      <c r="K33" s="120"/>
      <c r="L33" s="120"/>
      <c r="M33" s="149"/>
      <c r="N33" s="117"/>
      <c r="O33" s="254"/>
      <c r="P33" s="250"/>
      <c r="Q33" s="183"/>
      <c r="R33" s="254"/>
      <c r="S33" s="254"/>
      <c r="T33" s="254"/>
      <c r="U33" s="254"/>
      <c r="V33" s="254"/>
      <c r="W33" s="254"/>
      <c r="X33" s="254"/>
      <c r="Y33" s="254"/>
      <c r="Z33" s="254"/>
      <c r="AA33" s="183"/>
      <c r="AB33" s="260"/>
      <c r="AC33" s="145"/>
      <c r="AD33" s="147"/>
      <c r="AE33" s="147"/>
      <c r="AF33" s="145"/>
      <c r="AG33" s="145"/>
      <c r="AH33" s="145"/>
      <c r="AI33" s="147"/>
      <c r="AJ33" s="147"/>
      <c r="AK33" s="147"/>
      <c r="AL33" s="147"/>
      <c r="AM33" s="147"/>
      <c r="AN33" s="123"/>
      <c r="AO33" s="123"/>
      <c r="AP33" s="124"/>
      <c r="AQ33" s="124"/>
      <c r="AR33" s="124"/>
      <c r="AS33" s="150"/>
      <c r="AT33" s="151"/>
    </row>
    <row r="34" spans="1:47" s="109" customFormat="1" ht="18.899999999999999" customHeight="1">
      <c r="A34" s="308"/>
      <c r="B34" s="249"/>
      <c r="C34" s="236"/>
      <c r="D34" s="250"/>
      <c r="E34" s="251"/>
      <c r="F34" s="252"/>
      <c r="G34" s="146"/>
      <c r="H34" s="146"/>
      <c r="I34" s="146"/>
      <c r="J34" s="146"/>
      <c r="K34" s="146"/>
      <c r="L34" s="146"/>
      <c r="M34" s="253"/>
      <c r="N34" s="117"/>
      <c r="O34" s="254"/>
      <c r="P34" s="250"/>
      <c r="Q34" s="121"/>
      <c r="R34" s="254"/>
      <c r="S34" s="254"/>
      <c r="T34" s="254"/>
      <c r="U34" s="254"/>
      <c r="V34" s="254"/>
      <c r="W34" s="254"/>
      <c r="X34" s="254"/>
      <c r="Y34" s="254"/>
      <c r="Z34" s="254"/>
      <c r="AA34" s="183"/>
      <c r="AB34" s="152"/>
      <c r="AC34" s="153"/>
      <c r="AD34" s="153"/>
      <c r="AE34" s="153"/>
      <c r="AF34" s="145"/>
      <c r="AG34" s="145"/>
      <c r="AH34" s="153"/>
      <c r="AI34" s="153"/>
      <c r="AJ34" s="153"/>
      <c r="AK34" s="153"/>
      <c r="AL34" s="153"/>
      <c r="AM34" s="153"/>
      <c r="AN34" s="123"/>
      <c r="AO34" s="123"/>
      <c r="AP34" s="124"/>
      <c r="AQ34" s="124"/>
      <c r="AR34" s="124"/>
      <c r="AS34" s="150"/>
      <c r="AT34" s="151"/>
    </row>
    <row r="35" spans="1:47" s="109" customFormat="1" ht="18.899999999999999" customHeight="1">
      <c r="A35" s="309"/>
      <c r="B35" s="304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  <c r="O35" s="305"/>
      <c r="P35" s="305"/>
      <c r="Q35" s="450"/>
      <c r="R35" s="154"/>
      <c r="S35" s="154"/>
      <c r="T35" s="154"/>
      <c r="U35" s="154"/>
      <c r="V35" s="154"/>
      <c r="W35" s="154"/>
      <c r="X35" s="154"/>
      <c r="Y35" s="154"/>
      <c r="Z35" s="154"/>
      <c r="AA35" s="135"/>
      <c r="AB35" s="155"/>
      <c r="AC35" s="155"/>
      <c r="AD35" s="155"/>
      <c r="AE35" s="155"/>
      <c r="AF35" s="135"/>
      <c r="AG35" s="135"/>
      <c r="AH35" s="155"/>
      <c r="AI35" s="155"/>
      <c r="AJ35" s="155"/>
      <c r="AK35" s="155"/>
      <c r="AL35" s="155"/>
      <c r="AM35" s="155"/>
      <c r="AN35" s="135"/>
      <c r="AO35" s="135"/>
      <c r="AP35" s="156"/>
      <c r="AQ35" s="156"/>
      <c r="AR35" s="156"/>
      <c r="AS35" s="157"/>
      <c r="AT35" s="151"/>
    </row>
    <row r="36" spans="1:47" s="109" customFormat="1" ht="18.899999999999999" customHeight="1">
      <c r="A36" s="315" t="s">
        <v>72</v>
      </c>
      <c r="B36" s="261" t="str">
        <f>'Activity data -Head Office'!A29</f>
        <v>Electricity power [ไฟฟ้าสำนักงานใหญ่]</v>
      </c>
      <c r="C36" s="256" t="str">
        <f>'Activity data -Head Office'!E29</f>
        <v>Kwh</v>
      </c>
      <c r="D36" s="259">
        <f>'Activity data -Head Office'!F29</f>
        <v>166539</v>
      </c>
      <c r="E36" s="316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7"/>
      <c r="Q36" s="184">
        <v>0.49990000000000001</v>
      </c>
      <c r="R36" s="254"/>
      <c r="S36" s="254"/>
      <c r="T36" s="254"/>
      <c r="U36" s="254" t="s">
        <v>17</v>
      </c>
      <c r="V36" s="254"/>
      <c r="W36" s="254"/>
      <c r="X36" s="254"/>
      <c r="Y36" s="254"/>
      <c r="Z36" s="265" t="s">
        <v>149</v>
      </c>
      <c r="AA36" s="298"/>
      <c r="AB36" s="298"/>
      <c r="AC36" s="298"/>
      <c r="AD36" s="298"/>
      <c r="AE36" s="298"/>
      <c r="AF36" s="298"/>
      <c r="AG36" s="298"/>
      <c r="AH36" s="298"/>
      <c r="AI36" s="298"/>
      <c r="AJ36" s="298"/>
      <c r="AK36" s="298"/>
      <c r="AL36" s="298"/>
      <c r="AM36" s="298"/>
      <c r="AN36" s="299"/>
      <c r="AO36" s="123">
        <f>D36*Q36/1000</f>
        <v>83.252846099999999</v>
      </c>
      <c r="AP36" s="124">
        <f>AO36/$AO$40</f>
        <v>1</v>
      </c>
      <c r="AQ36" s="124" t="e">
        <f>AO36/$AO$95</f>
        <v>#REF!</v>
      </c>
      <c r="AR36" s="124" t="e">
        <f>AO36/$AO$96</f>
        <v>#REF!</v>
      </c>
      <c r="AS36" s="129"/>
      <c r="AU36" s="158"/>
    </row>
    <row r="37" spans="1:47" s="109" customFormat="1" ht="18.899999999999999" customHeight="1">
      <c r="A37" s="312"/>
      <c r="B37" s="261" t="str">
        <f>'Activity data -Head Office'!A30</f>
        <v>Electricity power [ไฟฟ้าโซล่าเซลล์]- สำนักงานใหญ่</v>
      </c>
      <c r="C37" s="256" t="str">
        <f>'Activity data -Head Office'!E30</f>
        <v>Kwh</v>
      </c>
      <c r="D37" s="259">
        <f>'Activity data -Head Office'!F30</f>
        <v>61610</v>
      </c>
      <c r="E37" s="318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9"/>
      <c r="Q37" s="185">
        <v>0</v>
      </c>
      <c r="R37" s="254"/>
      <c r="S37" s="254"/>
      <c r="T37" s="254"/>
      <c r="U37" s="254"/>
      <c r="V37" s="254"/>
      <c r="W37" s="254"/>
      <c r="X37" s="254"/>
      <c r="Y37" s="254"/>
      <c r="Z37" s="254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  <c r="AN37" s="300"/>
      <c r="AO37" s="123">
        <f>D37*Q37/1000</f>
        <v>0</v>
      </c>
      <c r="AP37" s="124">
        <f>AO37/$AO$40</f>
        <v>0</v>
      </c>
      <c r="AQ37" s="124" t="e">
        <f>AO37/$AO$95</f>
        <v>#REF!</v>
      </c>
      <c r="AR37" s="124" t="e">
        <f>AO37/$AO$96</f>
        <v>#REF!</v>
      </c>
      <c r="AS37" s="125"/>
      <c r="AT37" s="126"/>
      <c r="AU37" s="160"/>
    </row>
    <row r="38" spans="1:47" s="109" customFormat="1" ht="18.899999999999999" customHeight="1">
      <c r="A38" s="312"/>
      <c r="B38" s="159"/>
      <c r="C38" s="258"/>
      <c r="D38" s="257"/>
      <c r="E38" s="318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9"/>
      <c r="Q38" s="185"/>
      <c r="R38" s="254"/>
      <c r="S38" s="254"/>
      <c r="T38" s="254"/>
      <c r="U38" s="254"/>
      <c r="V38" s="254"/>
      <c r="W38" s="254"/>
      <c r="X38" s="254"/>
      <c r="Y38" s="254"/>
      <c r="Z38" s="254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0"/>
      <c r="AO38" s="123">
        <f>D38*Q38/1000</f>
        <v>0</v>
      </c>
      <c r="AP38" s="124">
        <f>AO38/$AO$40</f>
        <v>0</v>
      </c>
      <c r="AQ38" s="124" t="e">
        <f>AO38/$AO$95</f>
        <v>#REF!</v>
      </c>
      <c r="AR38" s="124" t="e">
        <f>AO38/$AO$96</f>
        <v>#REF!</v>
      </c>
      <c r="AS38" s="129"/>
    </row>
    <row r="39" spans="1:47" s="109" customFormat="1" ht="18.899999999999999" customHeight="1">
      <c r="A39" s="312"/>
      <c r="B39" s="159"/>
      <c r="C39" s="258"/>
      <c r="D39" s="161"/>
      <c r="E39" s="320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2"/>
      <c r="Q39" s="186"/>
      <c r="R39" s="254"/>
      <c r="S39" s="254"/>
      <c r="T39" s="254"/>
      <c r="U39" s="254"/>
      <c r="V39" s="254"/>
      <c r="W39" s="254"/>
      <c r="X39" s="254"/>
      <c r="Y39" s="254"/>
      <c r="Z39" s="254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3"/>
      <c r="AO39" s="123">
        <f>D39*Q39/1000</f>
        <v>0</v>
      </c>
      <c r="AP39" s="124">
        <f>AO39/$AO$40</f>
        <v>0</v>
      </c>
      <c r="AQ39" s="124" t="e">
        <f>AO39/$AO$95</f>
        <v>#REF!</v>
      </c>
      <c r="AR39" s="124" t="e">
        <f>AO39/$AO$96</f>
        <v>#REF!</v>
      </c>
      <c r="AS39" s="129"/>
      <c r="AU39" s="162"/>
    </row>
    <row r="40" spans="1:47" s="109" customFormat="1" ht="18.899999999999999" customHeight="1">
      <c r="A40" s="313"/>
      <c r="B40" s="345"/>
      <c r="C40" s="345"/>
      <c r="D40" s="345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5"/>
      <c r="R40" s="163"/>
      <c r="S40" s="163"/>
      <c r="T40" s="163"/>
      <c r="U40" s="163"/>
      <c r="V40" s="163"/>
      <c r="W40" s="163"/>
      <c r="X40" s="163"/>
      <c r="Y40" s="163"/>
      <c r="Z40" s="163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>
        <f>SUM(AO36:AO39)</f>
        <v>83.252846099999999</v>
      </c>
      <c r="AP40" s="164">
        <f>SUM(AP36:AP39)</f>
        <v>1</v>
      </c>
      <c r="AQ40" s="164"/>
      <c r="AR40" s="164"/>
      <c r="AS40" s="165"/>
    </row>
    <row r="41" spans="1:47" s="109" customFormat="1" ht="14.25" customHeight="1">
      <c r="A41" s="347" t="s">
        <v>73</v>
      </c>
      <c r="B41" s="434" t="s">
        <v>74</v>
      </c>
      <c r="C41" s="435"/>
      <c r="D41" s="427"/>
      <c r="E41" s="420"/>
      <c r="F41" s="421"/>
      <c r="G41" s="421"/>
      <c r="H41" s="421"/>
      <c r="I41" s="421"/>
      <c r="J41" s="421"/>
      <c r="K41" s="421"/>
      <c r="L41" s="421"/>
      <c r="M41" s="421"/>
      <c r="N41" s="421"/>
      <c r="O41" s="421"/>
      <c r="P41" s="422"/>
      <c r="Q41" s="342"/>
      <c r="R41" s="436"/>
      <c r="S41" s="436"/>
      <c r="T41" s="436"/>
      <c r="U41" s="436"/>
      <c r="V41" s="436"/>
      <c r="W41" s="436"/>
      <c r="X41" s="436"/>
      <c r="Y41" s="436"/>
      <c r="Z41" s="447"/>
      <c r="AA41" s="449"/>
      <c r="AB41" s="449"/>
      <c r="AC41" s="449"/>
      <c r="AD41" s="449"/>
      <c r="AE41" s="449"/>
      <c r="AF41" s="449"/>
      <c r="AG41" s="449"/>
      <c r="AH41" s="449"/>
      <c r="AI41" s="449"/>
      <c r="AJ41" s="449"/>
      <c r="AK41" s="449"/>
      <c r="AL41" s="449"/>
      <c r="AM41" s="449"/>
      <c r="AN41" s="449"/>
      <c r="AO41" s="202">
        <f t="shared" ref="AO41:AO93" si="19">D41*Q41/1000</f>
        <v>0</v>
      </c>
      <c r="AP41" s="39">
        <f t="shared" ref="AP41:AP65" si="20">AO41/$AO$94</f>
        <v>0</v>
      </c>
      <c r="AQ41" s="39"/>
      <c r="AR41" s="39" t="e">
        <f t="shared" ref="AR41:AR65" si="21">AO41/$AO$96</f>
        <v>#REF!</v>
      </c>
      <c r="AS41" s="42"/>
    </row>
    <row r="42" spans="1:47" s="109" customFormat="1" ht="14.25" customHeight="1">
      <c r="A42" s="348"/>
      <c r="B42" s="247" t="s">
        <v>9</v>
      </c>
      <c r="C42" s="36"/>
      <c r="D42" s="248"/>
      <c r="E42" s="423"/>
      <c r="F42" s="424"/>
      <c r="G42" s="424"/>
      <c r="H42" s="424"/>
      <c r="I42" s="424"/>
      <c r="J42" s="424"/>
      <c r="K42" s="424"/>
      <c r="L42" s="424"/>
      <c r="M42" s="424"/>
      <c r="N42" s="424"/>
      <c r="O42" s="424"/>
      <c r="P42" s="425"/>
      <c r="Q42" s="38"/>
      <c r="R42" s="37"/>
      <c r="S42" s="37"/>
      <c r="T42" s="37"/>
      <c r="U42" s="37"/>
      <c r="V42" s="37"/>
      <c r="W42" s="37"/>
      <c r="X42" s="37"/>
      <c r="Y42" s="37"/>
      <c r="Z42" s="44"/>
      <c r="AA42" s="449"/>
      <c r="AB42" s="449"/>
      <c r="AC42" s="449"/>
      <c r="AD42" s="449"/>
      <c r="AE42" s="449"/>
      <c r="AF42" s="449"/>
      <c r="AG42" s="449"/>
      <c r="AH42" s="449"/>
      <c r="AI42" s="449"/>
      <c r="AJ42" s="449"/>
      <c r="AK42" s="449"/>
      <c r="AL42" s="449"/>
      <c r="AM42" s="449"/>
      <c r="AN42" s="449"/>
      <c r="AO42" s="202">
        <f t="shared" si="19"/>
        <v>0</v>
      </c>
      <c r="AP42" s="39">
        <f t="shared" si="20"/>
        <v>0</v>
      </c>
      <c r="AQ42" s="39"/>
      <c r="AR42" s="39" t="e">
        <f t="shared" si="21"/>
        <v>#REF!</v>
      </c>
      <c r="AS42" s="40"/>
    </row>
    <row r="43" spans="1:47" s="109" customFormat="1" ht="14.25" customHeight="1">
      <c r="A43" s="348"/>
      <c r="B43" s="419" t="s">
        <v>150</v>
      </c>
      <c r="C43" s="437"/>
      <c r="D43" s="445"/>
      <c r="E43" s="423"/>
      <c r="F43" s="424"/>
      <c r="G43" s="424"/>
      <c r="H43" s="424"/>
      <c r="I43" s="424"/>
      <c r="J43" s="424"/>
      <c r="K43" s="424"/>
      <c r="L43" s="424"/>
      <c r="M43" s="424"/>
      <c r="N43" s="424"/>
      <c r="O43" s="424"/>
      <c r="P43" s="425"/>
      <c r="Q43" s="342"/>
      <c r="R43" s="436"/>
      <c r="S43" s="436"/>
      <c r="T43" s="436"/>
      <c r="U43" s="436"/>
      <c r="V43" s="436"/>
      <c r="W43" s="436"/>
      <c r="X43" s="436"/>
      <c r="Y43" s="436"/>
      <c r="Z43" s="447"/>
      <c r="AA43" s="449"/>
      <c r="AB43" s="449"/>
      <c r="AC43" s="449"/>
      <c r="AD43" s="449"/>
      <c r="AE43" s="449"/>
      <c r="AF43" s="449"/>
      <c r="AG43" s="449"/>
      <c r="AH43" s="449"/>
      <c r="AI43" s="449"/>
      <c r="AJ43" s="449"/>
      <c r="AK43" s="449"/>
      <c r="AL43" s="449"/>
      <c r="AM43" s="449"/>
      <c r="AN43" s="449"/>
      <c r="AO43" s="202">
        <f t="shared" si="19"/>
        <v>0</v>
      </c>
      <c r="AP43" s="39">
        <f t="shared" si="20"/>
        <v>0</v>
      </c>
      <c r="AQ43" s="39"/>
      <c r="AR43" s="39" t="e">
        <f t="shared" si="21"/>
        <v>#REF!</v>
      </c>
      <c r="AS43" s="40"/>
    </row>
    <row r="44" spans="1:47" s="109" customFormat="1" ht="14.25" customHeight="1">
      <c r="A44" s="348"/>
      <c r="B44" s="187" t="str">
        <f>'Activity data -Head Office'!A36</f>
        <v>รายการทรัพย์สินที่มูลค่า 5000 บาท และอายุการใช้งาน 3 ปี ขึ้นไป</v>
      </c>
      <c r="C44" s="48" t="str" cm="1">
        <f t="array" ref="C44:D44">'Activity data -Head Office'!E36:F36</f>
        <v>Baht</v>
      </c>
      <c r="D44" s="272">
        <v>0</v>
      </c>
      <c r="E44" s="423"/>
      <c r="F44" s="424"/>
      <c r="G44" s="424"/>
      <c r="H44" s="424"/>
      <c r="I44" s="424"/>
      <c r="J44" s="424"/>
      <c r="K44" s="424"/>
      <c r="L44" s="424"/>
      <c r="M44" s="424"/>
      <c r="N44" s="424"/>
      <c r="O44" s="424"/>
      <c r="P44" s="425"/>
      <c r="Q44" s="171">
        <v>0.42670000000000002</v>
      </c>
      <c r="R44" s="171"/>
      <c r="S44" s="171"/>
      <c r="T44" s="171"/>
      <c r="U44" s="171" t="s">
        <v>17</v>
      </c>
      <c r="V44" s="171"/>
      <c r="W44" s="171"/>
      <c r="X44" s="171"/>
      <c r="Y44" s="171"/>
      <c r="Z44" s="171" t="s">
        <v>151</v>
      </c>
      <c r="AA44" s="449"/>
      <c r="AB44" s="449"/>
      <c r="AC44" s="449"/>
      <c r="AD44" s="449"/>
      <c r="AE44" s="449"/>
      <c r="AF44" s="449"/>
      <c r="AG44" s="449"/>
      <c r="AH44" s="449"/>
      <c r="AI44" s="449"/>
      <c r="AJ44" s="449"/>
      <c r="AK44" s="449"/>
      <c r="AL44" s="449"/>
      <c r="AM44" s="449"/>
      <c r="AN44" s="449"/>
      <c r="AO44" s="202">
        <f t="shared" si="19"/>
        <v>0</v>
      </c>
      <c r="AP44" s="39">
        <f t="shared" si="20"/>
        <v>0</v>
      </c>
      <c r="AQ44" s="39"/>
      <c r="AR44" s="39" t="e">
        <f t="shared" si="21"/>
        <v>#REF!</v>
      </c>
      <c r="AS44" s="40"/>
    </row>
    <row r="45" spans="1:47" s="109" customFormat="1" ht="14.25" customHeight="1">
      <c r="A45" s="348"/>
      <c r="B45" s="419" t="s">
        <v>190</v>
      </c>
      <c r="C45" s="437"/>
      <c r="D45" s="437"/>
      <c r="E45" s="423"/>
      <c r="F45" s="424"/>
      <c r="G45" s="424"/>
      <c r="H45" s="424"/>
      <c r="I45" s="424"/>
      <c r="J45" s="424"/>
      <c r="K45" s="424"/>
      <c r="L45" s="424"/>
      <c r="M45" s="424"/>
      <c r="N45" s="424"/>
      <c r="O45" s="424"/>
      <c r="P45" s="425"/>
      <c r="Q45" s="342"/>
      <c r="R45" s="342"/>
      <c r="S45" s="342"/>
      <c r="T45" s="342"/>
      <c r="U45" s="342"/>
      <c r="V45" s="342"/>
      <c r="W45" s="342"/>
      <c r="X45" s="342"/>
      <c r="Y45" s="342"/>
      <c r="Z45" s="343"/>
      <c r="AA45" s="449"/>
      <c r="AB45" s="449"/>
      <c r="AC45" s="449"/>
      <c r="AD45" s="449"/>
      <c r="AE45" s="449"/>
      <c r="AF45" s="449"/>
      <c r="AG45" s="449"/>
      <c r="AH45" s="449"/>
      <c r="AI45" s="449"/>
      <c r="AJ45" s="449"/>
      <c r="AK45" s="449"/>
      <c r="AL45" s="449"/>
      <c r="AM45" s="449"/>
      <c r="AN45" s="449"/>
      <c r="AO45" s="202">
        <f t="shared" si="19"/>
        <v>0</v>
      </c>
      <c r="AP45" s="39">
        <f t="shared" si="20"/>
        <v>0</v>
      </c>
      <c r="AQ45" s="39"/>
      <c r="AR45" s="39" t="e">
        <f t="shared" si="21"/>
        <v>#REF!</v>
      </c>
      <c r="AS45" s="42"/>
    </row>
    <row r="46" spans="1:47" s="109" customFormat="1" ht="14.25" customHeight="1">
      <c r="A46" s="348"/>
      <c r="B46" s="187" t="str">
        <f>'Activity data -Head Office'!A38</f>
        <v>Diesel B7</v>
      </c>
      <c r="C46" s="48" t="s">
        <v>77</v>
      </c>
      <c r="D46" s="245">
        <f>'Activity data -Head Office'!S38</f>
        <v>12917.295299999998</v>
      </c>
      <c r="E46" s="423"/>
      <c r="F46" s="424"/>
      <c r="G46" s="424"/>
      <c r="H46" s="424"/>
      <c r="I46" s="424"/>
      <c r="J46" s="424"/>
      <c r="K46" s="424"/>
      <c r="L46" s="424"/>
      <c r="M46" s="424"/>
      <c r="N46" s="424"/>
      <c r="O46" s="424"/>
      <c r="P46" s="425"/>
      <c r="Q46" s="241">
        <v>0.35220000000000001</v>
      </c>
      <c r="R46" s="38"/>
      <c r="S46" s="37"/>
      <c r="T46" s="37"/>
      <c r="U46" s="37" t="s">
        <v>17</v>
      </c>
      <c r="V46" s="37"/>
      <c r="W46" s="37"/>
      <c r="X46" s="37"/>
      <c r="Y46" s="37"/>
      <c r="Z46" s="44" t="s">
        <v>153</v>
      </c>
      <c r="AA46" s="449"/>
      <c r="AB46" s="449"/>
      <c r="AC46" s="449"/>
      <c r="AD46" s="449"/>
      <c r="AE46" s="449"/>
      <c r="AF46" s="449"/>
      <c r="AG46" s="449"/>
      <c r="AH46" s="449"/>
      <c r="AI46" s="449"/>
      <c r="AJ46" s="449"/>
      <c r="AK46" s="449"/>
      <c r="AL46" s="449"/>
      <c r="AM46" s="449"/>
      <c r="AN46" s="449"/>
      <c r="AO46" s="202">
        <f t="shared" si="19"/>
        <v>4.5494714046599993</v>
      </c>
      <c r="AP46" s="39">
        <f t="shared" si="20"/>
        <v>2.6687304377679091E-2</v>
      </c>
      <c r="AQ46" s="39"/>
      <c r="AR46" s="39" t="e">
        <f t="shared" si="21"/>
        <v>#REF!</v>
      </c>
      <c r="AS46" s="40"/>
    </row>
    <row r="47" spans="1:47" s="109" customFormat="1" ht="14.25" customHeight="1">
      <c r="A47" s="348"/>
      <c r="B47" s="187" t="str">
        <f>'Activity data -Head Office'!A39</f>
        <v>Gasohol 95</v>
      </c>
      <c r="C47" s="48" t="s">
        <v>77</v>
      </c>
      <c r="D47" s="245">
        <f>'Activity data -Head Office'!S39</f>
        <v>9255.9035800000001</v>
      </c>
      <c r="E47" s="423"/>
      <c r="F47" s="424"/>
      <c r="G47" s="424"/>
      <c r="H47" s="424"/>
      <c r="I47" s="424"/>
      <c r="J47" s="424"/>
      <c r="K47" s="424"/>
      <c r="L47" s="424"/>
      <c r="M47" s="424"/>
      <c r="N47" s="424"/>
      <c r="O47" s="424"/>
      <c r="P47" s="425"/>
      <c r="Q47" s="241">
        <v>0.40239999999999998</v>
      </c>
      <c r="R47" s="38"/>
      <c r="S47" s="37"/>
      <c r="T47" s="37"/>
      <c r="U47" s="37" t="s">
        <v>17</v>
      </c>
      <c r="V47" s="37"/>
      <c r="W47" s="37"/>
      <c r="X47" s="37"/>
      <c r="Y47" s="37"/>
      <c r="Z47" s="44" t="s">
        <v>152</v>
      </c>
      <c r="AA47" s="449"/>
      <c r="AB47" s="449"/>
      <c r="AC47" s="449"/>
      <c r="AD47" s="449"/>
      <c r="AE47" s="449"/>
      <c r="AF47" s="449"/>
      <c r="AG47" s="449"/>
      <c r="AH47" s="449"/>
      <c r="AI47" s="449"/>
      <c r="AJ47" s="449"/>
      <c r="AK47" s="449"/>
      <c r="AL47" s="449"/>
      <c r="AM47" s="449"/>
      <c r="AN47" s="449"/>
      <c r="AO47" s="202">
        <f t="shared" si="19"/>
        <v>3.7245756005919999</v>
      </c>
      <c r="AP47" s="39">
        <f t="shared" si="20"/>
        <v>2.1848446531362274E-2</v>
      </c>
      <c r="AQ47" s="39"/>
      <c r="AR47" s="39" t="e">
        <f t="shared" si="21"/>
        <v>#REF!</v>
      </c>
      <c r="AS47" s="40"/>
    </row>
    <row r="48" spans="1:47" s="109" customFormat="1" ht="14.25" customHeight="1">
      <c r="A48" s="348"/>
      <c r="B48" s="187" t="str">
        <f>'Activity data -Head Office'!A40</f>
        <v>Electricity power</v>
      </c>
      <c r="C48" s="48" t="str">
        <f>'Activity data -Head Office'!E40</f>
        <v>Kwh</v>
      </c>
      <c r="D48" s="245">
        <f>'Activity data -Head Office'!F40</f>
        <v>166539</v>
      </c>
      <c r="E48" s="423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5"/>
      <c r="Q48" s="169">
        <f>0.5986-0.4999</f>
        <v>9.870000000000001E-2</v>
      </c>
      <c r="R48" s="38"/>
      <c r="S48" s="37"/>
      <c r="T48" s="37"/>
      <c r="U48" s="37" t="s">
        <v>17</v>
      </c>
      <c r="V48" s="37"/>
      <c r="W48" s="37"/>
      <c r="X48" s="37"/>
      <c r="Y48" s="37"/>
      <c r="Z48" s="44" t="s">
        <v>154</v>
      </c>
      <c r="AA48" s="449"/>
      <c r="AB48" s="449"/>
      <c r="AC48" s="449"/>
      <c r="AD48" s="449"/>
      <c r="AE48" s="449"/>
      <c r="AF48" s="449"/>
      <c r="AG48" s="449"/>
      <c r="AH48" s="449"/>
      <c r="AI48" s="449"/>
      <c r="AJ48" s="449"/>
      <c r="AK48" s="449"/>
      <c r="AL48" s="449"/>
      <c r="AM48" s="449"/>
      <c r="AN48" s="449"/>
      <c r="AO48" s="202">
        <f t="shared" si="19"/>
        <v>16.437399300000003</v>
      </c>
      <c r="AP48" s="39">
        <f t="shared" si="20"/>
        <v>9.6422164088606446E-2</v>
      </c>
      <c r="AQ48" s="39"/>
      <c r="AR48" s="39" t="e">
        <f t="shared" si="21"/>
        <v>#REF!</v>
      </c>
      <c r="AS48" s="40"/>
    </row>
    <row r="49" spans="1:45" s="109" customFormat="1" ht="14.25" customHeight="1">
      <c r="A49" s="348"/>
      <c r="B49" s="352" t="s">
        <v>75</v>
      </c>
      <c r="C49" s="353"/>
      <c r="D49" s="354"/>
      <c r="E49" s="423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5"/>
      <c r="Q49" s="342"/>
      <c r="R49" s="342"/>
      <c r="S49" s="342"/>
      <c r="T49" s="342"/>
      <c r="U49" s="342"/>
      <c r="V49" s="342"/>
      <c r="W49" s="342"/>
      <c r="X49" s="342"/>
      <c r="Y49" s="342"/>
      <c r="Z49" s="343"/>
      <c r="AA49" s="449"/>
      <c r="AB49" s="449"/>
      <c r="AC49" s="449"/>
      <c r="AD49" s="449"/>
      <c r="AE49" s="449"/>
      <c r="AF49" s="449"/>
      <c r="AG49" s="449"/>
      <c r="AH49" s="449"/>
      <c r="AI49" s="449"/>
      <c r="AJ49" s="449"/>
      <c r="AK49" s="449"/>
      <c r="AL49" s="449"/>
      <c r="AM49" s="449"/>
      <c r="AN49" s="449"/>
      <c r="AO49" s="202">
        <f t="shared" si="19"/>
        <v>0</v>
      </c>
      <c r="AP49" s="39">
        <f t="shared" si="20"/>
        <v>0</v>
      </c>
      <c r="AQ49" s="39"/>
      <c r="AR49" s="39" t="e">
        <f t="shared" si="21"/>
        <v>#REF!</v>
      </c>
      <c r="AS49" s="42"/>
    </row>
    <row r="50" spans="1:45" s="109" customFormat="1" ht="14.25" customHeight="1">
      <c r="A50" s="348"/>
      <c r="B50" s="52" t="s">
        <v>9</v>
      </c>
      <c r="C50" s="203"/>
      <c r="D50" s="203"/>
      <c r="E50" s="423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5"/>
      <c r="Q50" s="169"/>
      <c r="R50" s="38"/>
      <c r="S50" s="37"/>
      <c r="T50" s="37"/>
      <c r="U50" s="37"/>
      <c r="V50" s="37"/>
      <c r="W50" s="37"/>
      <c r="X50" s="37"/>
      <c r="Y50" s="37"/>
      <c r="Z50" s="44"/>
      <c r="AA50" s="449"/>
      <c r="AB50" s="449"/>
      <c r="AC50" s="449"/>
      <c r="AD50" s="449"/>
      <c r="AE50" s="449"/>
      <c r="AF50" s="449"/>
      <c r="AG50" s="449"/>
      <c r="AH50" s="449"/>
      <c r="AI50" s="449"/>
      <c r="AJ50" s="449"/>
      <c r="AK50" s="449"/>
      <c r="AL50" s="449"/>
      <c r="AM50" s="449"/>
      <c r="AN50" s="449"/>
      <c r="AO50" s="202">
        <f t="shared" si="19"/>
        <v>0</v>
      </c>
      <c r="AP50" s="39">
        <f t="shared" si="20"/>
        <v>0</v>
      </c>
      <c r="AQ50" s="39"/>
      <c r="AR50" s="39" t="e">
        <f t="shared" si="21"/>
        <v>#REF!</v>
      </c>
      <c r="AS50" s="42"/>
    </row>
    <row r="51" spans="1:45" s="109" customFormat="1" ht="14.25" customHeight="1">
      <c r="A51" s="348"/>
      <c r="B51" s="426" t="s">
        <v>155</v>
      </c>
      <c r="C51" s="427"/>
      <c r="D51" s="428"/>
      <c r="E51" s="423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5"/>
      <c r="Q51" s="344"/>
      <c r="R51" s="342"/>
      <c r="S51" s="342"/>
      <c r="T51" s="342"/>
      <c r="U51" s="342"/>
      <c r="V51" s="342"/>
      <c r="W51" s="342"/>
      <c r="X51" s="342"/>
      <c r="Y51" s="342"/>
      <c r="Z51" s="343"/>
      <c r="AA51" s="449"/>
      <c r="AB51" s="449"/>
      <c r="AC51" s="449"/>
      <c r="AD51" s="449"/>
      <c r="AE51" s="449"/>
      <c r="AF51" s="449"/>
      <c r="AG51" s="449"/>
      <c r="AH51" s="449"/>
      <c r="AI51" s="449"/>
      <c r="AJ51" s="449"/>
      <c r="AK51" s="449"/>
      <c r="AL51" s="449"/>
      <c r="AM51" s="449"/>
      <c r="AN51" s="449"/>
      <c r="AO51" s="202">
        <f t="shared" si="19"/>
        <v>0</v>
      </c>
      <c r="AP51" s="39">
        <f t="shared" si="20"/>
        <v>0</v>
      </c>
      <c r="AQ51" s="39"/>
      <c r="AR51" s="39" t="e">
        <f t="shared" si="21"/>
        <v>#REF!</v>
      </c>
      <c r="AS51" s="42"/>
    </row>
    <row r="52" spans="1:45" s="109" customFormat="1" ht="14.25" customHeight="1">
      <c r="A52" s="349"/>
      <c r="B52" s="53" t="str">
        <f>'Activity data -Head Office'!A44</f>
        <v>ขยะมูลฝอยส่งไป Sanitary Landfill</v>
      </c>
      <c r="C52" s="54" t="str">
        <f>'Activity data -Head Office'!E44</f>
        <v>kg</v>
      </c>
      <c r="D52" s="55">
        <f>'Activity data -Head Office'!F44</f>
        <v>8378.16</v>
      </c>
      <c r="E52" s="424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5"/>
      <c r="Q52" s="59">
        <v>0.79330000000000001</v>
      </c>
      <c r="R52" s="37"/>
      <c r="S52" s="37"/>
      <c r="T52" s="37"/>
      <c r="U52" s="37" t="s">
        <v>17</v>
      </c>
      <c r="V52" s="37"/>
      <c r="W52" s="37"/>
      <c r="X52" s="37"/>
      <c r="Y52" s="37"/>
      <c r="Z52" s="240" t="s">
        <v>20</v>
      </c>
      <c r="AA52" s="449"/>
      <c r="AB52" s="449"/>
      <c r="AC52" s="449"/>
      <c r="AD52" s="449"/>
      <c r="AE52" s="449"/>
      <c r="AF52" s="449"/>
      <c r="AG52" s="449"/>
      <c r="AH52" s="449"/>
      <c r="AI52" s="449"/>
      <c r="AJ52" s="449"/>
      <c r="AK52" s="449"/>
      <c r="AL52" s="449"/>
      <c r="AM52" s="449"/>
      <c r="AN52" s="449"/>
      <c r="AO52" s="202">
        <f t="shared" si="19"/>
        <v>6.6463943280000004</v>
      </c>
      <c r="AP52" s="39">
        <f t="shared" si="20"/>
        <v>3.8987902696504984E-2</v>
      </c>
      <c r="AQ52" s="39"/>
      <c r="AR52" s="39" t="e">
        <f t="shared" si="21"/>
        <v>#REF!</v>
      </c>
      <c r="AS52" s="42"/>
    </row>
    <row r="53" spans="1:45" s="109" customFormat="1" ht="14.25" customHeight="1">
      <c r="A53" s="349"/>
      <c r="B53" s="246" t="str">
        <f>'Activity data -Head Office'!A45</f>
        <v>รถบรรทุกขยะ 6 ล้อ วิ่งปกติ 0% Loading</v>
      </c>
      <c r="C53" s="244" t="str">
        <f>'Activity data -Head Office'!E45</f>
        <v>KM</v>
      </c>
      <c r="D53" s="243">
        <f>'Activity data -Head Office'!F45</f>
        <v>960</v>
      </c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5"/>
      <c r="Q53" s="38">
        <v>0.49230000000000002</v>
      </c>
      <c r="R53" s="37"/>
      <c r="S53" s="37"/>
      <c r="T53" s="37"/>
      <c r="U53" s="37" t="s">
        <v>17</v>
      </c>
      <c r="V53" s="37"/>
      <c r="W53" s="37"/>
      <c r="X53" s="37"/>
      <c r="Y53" s="44"/>
      <c r="Z53" s="240" t="s">
        <v>21</v>
      </c>
      <c r="AA53" s="449"/>
      <c r="AB53" s="449"/>
      <c r="AC53" s="449"/>
      <c r="AD53" s="449"/>
      <c r="AE53" s="449"/>
      <c r="AF53" s="449"/>
      <c r="AG53" s="449"/>
      <c r="AH53" s="449"/>
      <c r="AI53" s="449"/>
      <c r="AJ53" s="449"/>
      <c r="AK53" s="449"/>
      <c r="AL53" s="449"/>
      <c r="AM53" s="449"/>
      <c r="AN53" s="449"/>
      <c r="AO53" s="202">
        <f t="shared" si="19"/>
        <v>0.47260800000000003</v>
      </c>
      <c r="AP53" s="39">
        <f t="shared" si="20"/>
        <v>2.7723294478578563E-3</v>
      </c>
      <c r="AQ53" s="39"/>
      <c r="AR53" s="39" t="e">
        <f t="shared" si="21"/>
        <v>#REF!</v>
      </c>
      <c r="AS53" s="42"/>
    </row>
    <row r="54" spans="1:45" s="109" customFormat="1" ht="14.25" customHeight="1">
      <c r="A54" s="349"/>
      <c r="B54" s="56" t="str">
        <f>'Activity data -Head Office'!A46</f>
        <v>รถบรรทุกขยะ 6 ล้อ วิ่งปกติ 100% Loading</v>
      </c>
      <c r="C54" s="191" t="str">
        <f>'Activity data -Head Office'!E46</f>
        <v>TKM</v>
      </c>
      <c r="D54" s="170">
        <f>'Activity data -Head Office'!F46</f>
        <v>83.79</v>
      </c>
      <c r="E54" s="424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5"/>
      <c r="Q54" s="38">
        <v>4.7500000000000001E-2</v>
      </c>
      <c r="R54" s="37"/>
      <c r="S54" s="37"/>
      <c r="T54" s="37"/>
      <c r="U54" s="37" t="s">
        <v>17</v>
      </c>
      <c r="V54" s="37"/>
      <c r="W54" s="37"/>
      <c r="X54" s="37"/>
      <c r="Y54" s="44"/>
      <c r="Z54" s="240" t="s">
        <v>156</v>
      </c>
      <c r="AA54" s="449"/>
      <c r="AB54" s="449"/>
      <c r="AC54" s="449"/>
      <c r="AD54" s="449"/>
      <c r="AE54" s="449"/>
      <c r="AF54" s="449"/>
      <c r="AG54" s="449"/>
      <c r="AH54" s="449"/>
      <c r="AI54" s="449"/>
      <c r="AJ54" s="449"/>
      <c r="AK54" s="449"/>
      <c r="AL54" s="449"/>
      <c r="AM54" s="449"/>
      <c r="AN54" s="449"/>
      <c r="AO54" s="202">
        <f t="shared" si="19"/>
        <v>3.9800250000000007E-3</v>
      </c>
      <c r="AP54" s="39">
        <f t="shared" si="20"/>
        <v>2.3346918610583118E-5</v>
      </c>
      <c r="AQ54" s="39"/>
      <c r="AR54" s="39" t="e">
        <f t="shared" si="21"/>
        <v>#REF!</v>
      </c>
      <c r="AS54" s="42"/>
    </row>
    <row r="55" spans="1:45" s="109" customFormat="1" ht="14.25" customHeight="1">
      <c r="A55" s="348"/>
      <c r="B55" s="448" t="s">
        <v>157</v>
      </c>
      <c r="C55" s="351"/>
      <c r="D55" s="351"/>
      <c r="E55" s="423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5"/>
      <c r="Q55" s="342"/>
      <c r="R55" s="342"/>
      <c r="S55" s="342"/>
      <c r="T55" s="342"/>
      <c r="U55" s="342"/>
      <c r="V55" s="342"/>
      <c r="W55" s="342"/>
      <c r="X55" s="342"/>
      <c r="Y55" s="342"/>
      <c r="Z55" s="343"/>
      <c r="AA55" s="449"/>
      <c r="AB55" s="449"/>
      <c r="AC55" s="449"/>
      <c r="AD55" s="449"/>
      <c r="AE55" s="449"/>
      <c r="AF55" s="449"/>
      <c r="AG55" s="449"/>
      <c r="AH55" s="449"/>
      <c r="AI55" s="449"/>
      <c r="AJ55" s="449"/>
      <c r="AK55" s="449"/>
      <c r="AL55" s="449"/>
      <c r="AM55" s="449"/>
      <c r="AN55" s="449"/>
      <c r="AO55" s="202">
        <f t="shared" si="19"/>
        <v>0</v>
      </c>
      <c r="AP55" s="39">
        <f t="shared" si="20"/>
        <v>0</v>
      </c>
      <c r="AQ55" s="39"/>
      <c r="AR55" s="39" t="e">
        <f t="shared" si="21"/>
        <v>#REF!</v>
      </c>
      <c r="AS55" s="42"/>
    </row>
    <row r="56" spans="1:45" s="109" customFormat="1" ht="14.25" customHeight="1">
      <c r="A56" s="348"/>
      <c r="B56" s="58" t="str">
        <f>'Activity data -Head Office'!A48</f>
        <v>เครื่องบิน</v>
      </c>
      <c r="C56" s="242" t="str">
        <f>'Activity data -Head Office'!E48</f>
        <v>kgCO2</v>
      </c>
      <c r="D56" s="239">
        <f>'Activity data -Head Office'!F48</f>
        <v>3126</v>
      </c>
      <c r="E56" s="423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166">
        <v>1</v>
      </c>
      <c r="R56" s="188"/>
      <c r="S56" s="188"/>
      <c r="T56" s="188"/>
      <c r="U56" s="188"/>
      <c r="V56" s="188"/>
      <c r="W56" s="188"/>
      <c r="X56" s="57" t="s">
        <v>17</v>
      </c>
      <c r="Y56" s="188"/>
      <c r="Z56" s="192" t="s">
        <v>22</v>
      </c>
      <c r="AA56" s="449"/>
      <c r="AB56" s="449"/>
      <c r="AC56" s="449"/>
      <c r="AD56" s="449"/>
      <c r="AE56" s="449"/>
      <c r="AF56" s="449"/>
      <c r="AG56" s="449"/>
      <c r="AH56" s="449"/>
      <c r="AI56" s="449"/>
      <c r="AJ56" s="449"/>
      <c r="AK56" s="449"/>
      <c r="AL56" s="449"/>
      <c r="AM56" s="449"/>
      <c r="AN56" s="449"/>
      <c r="AO56" s="202">
        <f t="shared" si="19"/>
        <v>3.1259999999999999</v>
      </c>
      <c r="AP56" s="39">
        <f t="shared" si="20"/>
        <v>1.8337188227883695E-2</v>
      </c>
      <c r="AQ56" s="39"/>
      <c r="AR56" s="39" t="e">
        <f t="shared" si="21"/>
        <v>#REF!</v>
      </c>
      <c r="AS56" s="42"/>
    </row>
    <row r="57" spans="1:45" s="109" customFormat="1" ht="14.25" customHeight="1">
      <c r="A57" s="348"/>
      <c r="B57" s="58" t="str">
        <f>'Activity data -Head Office'!A49</f>
        <v>แท็กซี่ (NGV)</v>
      </c>
      <c r="C57" s="242" t="str">
        <f>'Activity data -Head Office'!E49</f>
        <v>kg</v>
      </c>
      <c r="D57" s="239">
        <f>'Activity data -Head Office'!F49</f>
        <v>0</v>
      </c>
      <c r="E57" s="423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268">
        <v>2.2608999999999999</v>
      </c>
      <c r="R57" s="198"/>
      <c r="S57" s="241"/>
      <c r="T57" s="241"/>
      <c r="U57" s="57" t="s">
        <v>17</v>
      </c>
      <c r="V57" s="37"/>
      <c r="W57" s="37"/>
      <c r="X57" s="37"/>
      <c r="Y57" s="168"/>
      <c r="Z57" s="240" t="s">
        <v>204</v>
      </c>
      <c r="AA57" s="449"/>
      <c r="AB57" s="449"/>
      <c r="AC57" s="449"/>
      <c r="AD57" s="449"/>
      <c r="AE57" s="449"/>
      <c r="AF57" s="449"/>
      <c r="AG57" s="449"/>
      <c r="AH57" s="449"/>
      <c r="AI57" s="449"/>
      <c r="AJ57" s="449"/>
      <c r="AK57" s="449"/>
      <c r="AL57" s="449"/>
      <c r="AM57" s="449"/>
      <c r="AN57" s="449"/>
      <c r="AO57" s="202">
        <f t="shared" si="19"/>
        <v>0</v>
      </c>
      <c r="AP57" s="39">
        <f t="shared" si="20"/>
        <v>0</v>
      </c>
      <c r="AQ57" s="39"/>
      <c r="AR57" s="39" t="e">
        <f t="shared" si="21"/>
        <v>#REF!</v>
      </c>
      <c r="AS57" s="42"/>
    </row>
    <row r="58" spans="1:45" s="109" customFormat="1" ht="14.25" customHeight="1">
      <c r="A58" s="348"/>
      <c r="B58" s="58" t="str">
        <f>'Activity data -Head Office'!A50</f>
        <v>Gasohol 95 รถยนต์ขนาดใหญ่ 2000 cc (ประจำตำแหน่งผู้จัดการ, 1ขก7898, 3กฆ9021, 3ขบ1664)</v>
      </c>
      <c r="C58" s="242" t="str">
        <f>'Activity data -Head Office'!E50</f>
        <v>Litre</v>
      </c>
      <c r="D58" s="239">
        <f>'Activity data -Head Office'!F50</f>
        <v>4013.2999999999997</v>
      </c>
      <c r="E58" s="423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241">
        <v>2.7406000000000001</v>
      </c>
      <c r="R58" s="38"/>
      <c r="S58" s="37"/>
      <c r="T58" s="37"/>
      <c r="U58" s="37" t="s">
        <v>17</v>
      </c>
      <c r="V58" s="37"/>
      <c r="W58" s="37"/>
      <c r="X58" s="37"/>
      <c r="Y58" s="37"/>
      <c r="Z58" s="44" t="s">
        <v>211</v>
      </c>
      <c r="AA58" s="449"/>
      <c r="AB58" s="449"/>
      <c r="AC58" s="449"/>
      <c r="AD58" s="449"/>
      <c r="AE58" s="449"/>
      <c r="AF58" s="449"/>
      <c r="AG58" s="449"/>
      <c r="AH58" s="449"/>
      <c r="AI58" s="449"/>
      <c r="AJ58" s="449"/>
      <c r="AK58" s="449"/>
      <c r="AL58" s="449"/>
      <c r="AM58" s="449"/>
      <c r="AN58" s="449"/>
      <c r="AO58" s="202">
        <f t="shared" si="19"/>
        <v>10.998849979999999</v>
      </c>
      <c r="AP58" s="39">
        <f t="shared" si="20"/>
        <v>6.4519508116927318E-2</v>
      </c>
      <c r="AQ58" s="39"/>
      <c r="AR58" s="39" t="e">
        <f t="shared" si="21"/>
        <v>#REF!</v>
      </c>
      <c r="AS58" s="42"/>
    </row>
    <row r="59" spans="1:45" s="109" customFormat="1" ht="14.25" customHeight="1">
      <c r="A59" s="348"/>
      <c r="B59" s="58" t="str">
        <f>'Activity data -Head Office'!A51</f>
        <v>Gasohol 95 รถยนต์ขนาดกลาง ขนาด 1600 cc (ประจำตำแหน่งผู้จัดการ, สส7838)</v>
      </c>
      <c r="C59" s="242" t="str">
        <f>'Activity data -Head Office'!E51</f>
        <v>Litre</v>
      </c>
      <c r="D59" s="239">
        <f>'Activity data -Head Office'!F51</f>
        <v>1337.76</v>
      </c>
      <c r="E59" s="423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241">
        <v>2.2719</v>
      </c>
      <c r="R59" s="38"/>
      <c r="S59" s="37"/>
      <c r="T59" s="37"/>
      <c r="U59" s="37" t="s">
        <v>17</v>
      </c>
      <c r="V59" s="37"/>
      <c r="W59" s="37"/>
      <c r="X59" s="37"/>
      <c r="Y59" s="37"/>
      <c r="Z59" s="44" t="s">
        <v>205</v>
      </c>
      <c r="AA59" s="449"/>
      <c r="AB59" s="449"/>
      <c r="AC59" s="449"/>
      <c r="AD59" s="449"/>
      <c r="AE59" s="449"/>
      <c r="AF59" s="449"/>
      <c r="AG59" s="449"/>
      <c r="AH59" s="449"/>
      <c r="AI59" s="449"/>
      <c r="AJ59" s="449"/>
      <c r="AK59" s="449"/>
      <c r="AL59" s="449"/>
      <c r="AM59" s="449"/>
      <c r="AN59" s="449"/>
      <c r="AO59" s="202">
        <f t="shared" si="19"/>
        <v>3.0392569440000003</v>
      </c>
      <c r="AP59" s="39">
        <f t="shared" si="20"/>
        <v>1.7828351457143503E-2</v>
      </c>
      <c r="AQ59" s="39"/>
      <c r="AR59" s="39" t="e">
        <f t="shared" si="21"/>
        <v>#REF!</v>
      </c>
      <c r="AS59" s="42"/>
    </row>
    <row r="60" spans="1:45" s="109" customFormat="1" ht="14.25" customHeight="1">
      <c r="A60" s="348"/>
      <c r="B60" s="58" t="str">
        <f>'Activity data -Head Office'!A52</f>
        <v>Gasohol 95 รถยนต์ขนาดเล็ก ขนาด 1500 cc (ประจำตำแหน่งผู้จัดการ, 5กภ5054, 8กฒ8081)</v>
      </c>
      <c r="C60" s="242" t="str">
        <f>'Activity data -Head Office'!E52</f>
        <v>Litre</v>
      </c>
      <c r="D60" s="239">
        <f>'Activity data -Head Office'!F52</f>
        <v>2675.5399999999995</v>
      </c>
      <c r="E60" s="423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241">
        <v>2.2719</v>
      </c>
      <c r="R60" s="38"/>
      <c r="S60" s="37"/>
      <c r="T60" s="37"/>
      <c r="U60" s="37" t="s">
        <v>17</v>
      </c>
      <c r="V60" s="37"/>
      <c r="W60" s="37"/>
      <c r="X60" s="37"/>
      <c r="Y60" s="37"/>
      <c r="Z60" s="44" t="s">
        <v>205</v>
      </c>
      <c r="AA60" s="449"/>
      <c r="AB60" s="449"/>
      <c r="AC60" s="449"/>
      <c r="AD60" s="449"/>
      <c r="AE60" s="449"/>
      <c r="AF60" s="449"/>
      <c r="AG60" s="449"/>
      <c r="AH60" s="449"/>
      <c r="AI60" s="449"/>
      <c r="AJ60" s="449"/>
      <c r="AK60" s="449"/>
      <c r="AL60" s="449"/>
      <c r="AM60" s="449"/>
      <c r="AN60" s="449"/>
      <c r="AO60" s="202">
        <f t="shared" si="19"/>
        <v>6.0785593259999988</v>
      </c>
      <c r="AP60" s="39">
        <f t="shared" si="20"/>
        <v>3.565696945464486E-2</v>
      </c>
      <c r="AQ60" s="39"/>
      <c r="AR60" s="39" t="e">
        <f t="shared" si="21"/>
        <v>#REF!</v>
      </c>
      <c r="AS60" s="42"/>
    </row>
    <row r="61" spans="1:45" s="109" customFormat="1" ht="14.25" customHeight="1">
      <c r="A61" s="348"/>
      <c r="B61" s="58" t="str">
        <f>'Activity data -Head Office'!A53</f>
        <v>Diesel B7 รถยนต์ขนาดใหญ่ ขนาด 2000 cc (ประจำตำแหน่งที่ปรึกษา, 5กณ1579)</v>
      </c>
      <c r="C61" s="242" t="str">
        <f>'Activity data -Head Office'!E53</f>
        <v>Litre</v>
      </c>
      <c r="D61" s="239">
        <f>'Activity data -Head Office'!F53</f>
        <v>1337.76</v>
      </c>
      <c r="E61" s="423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241">
        <v>2.7406000000000001</v>
      </c>
      <c r="R61" s="38"/>
      <c r="S61" s="37"/>
      <c r="T61" s="37"/>
      <c r="U61" s="37" t="s">
        <v>17</v>
      </c>
      <c r="V61" s="37"/>
      <c r="W61" s="37"/>
      <c r="X61" s="37"/>
      <c r="Y61" s="37"/>
      <c r="Z61" s="44" t="s">
        <v>211</v>
      </c>
      <c r="AA61" s="449"/>
      <c r="AB61" s="449"/>
      <c r="AC61" s="449"/>
      <c r="AD61" s="449"/>
      <c r="AE61" s="449"/>
      <c r="AF61" s="449"/>
      <c r="AG61" s="449"/>
      <c r="AH61" s="449"/>
      <c r="AI61" s="449"/>
      <c r="AJ61" s="449"/>
      <c r="AK61" s="449"/>
      <c r="AL61" s="449"/>
      <c r="AM61" s="449"/>
      <c r="AN61" s="449"/>
      <c r="AO61" s="202">
        <f t="shared" si="19"/>
        <v>3.6662650560000003</v>
      </c>
      <c r="AP61" s="39">
        <f t="shared" si="20"/>
        <v>2.1506395529489623E-2</v>
      </c>
      <c r="AQ61" s="39"/>
      <c r="AR61" s="39" t="e">
        <f t="shared" si="21"/>
        <v>#REF!</v>
      </c>
      <c r="AS61" s="42"/>
    </row>
    <row r="62" spans="1:45" s="109" customFormat="1" ht="14.25" customHeight="1">
      <c r="A62" s="348"/>
      <c r="B62" s="58" t="str">
        <f>'Activity data -Head Office'!A54</f>
        <v>Diesel B7 รถยนต์กระบะส่วนบุคคลขนาด 1 ตัน (ประจำตำแหน่งผู้ช่วยผู้จัดการ, สฎ3762)</v>
      </c>
      <c r="C62" s="242" t="str">
        <f>'Activity data -Head Office'!E54</f>
        <v>Litre</v>
      </c>
      <c r="D62" s="239">
        <f>'Activity data -Head Office'!F54</f>
        <v>1092.8399999999997</v>
      </c>
      <c r="E62" s="423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241">
        <v>2.7406000000000001</v>
      </c>
      <c r="R62" s="38"/>
      <c r="S62" s="37"/>
      <c r="T62" s="37"/>
      <c r="U62" s="37" t="s">
        <v>17</v>
      </c>
      <c r="V62" s="37"/>
      <c r="W62" s="37"/>
      <c r="X62" s="37"/>
      <c r="Y62" s="37"/>
      <c r="Z62" s="44" t="s">
        <v>211</v>
      </c>
      <c r="AA62" s="449"/>
      <c r="AB62" s="449"/>
      <c r="AC62" s="449"/>
      <c r="AD62" s="449"/>
      <c r="AE62" s="449"/>
      <c r="AF62" s="449"/>
      <c r="AG62" s="449"/>
      <c r="AH62" s="449"/>
      <c r="AI62" s="449"/>
      <c r="AJ62" s="449"/>
      <c r="AK62" s="449"/>
      <c r="AL62" s="449"/>
      <c r="AM62" s="449"/>
      <c r="AN62" s="449"/>
      <c r="AO62" s="202">
        <f t="shared" si="19"/>
        <v>2.9950373039999993</v>
      </c>
      <c r="AP62" s="39">
        <f t="shared" si="20"/>
        <v>1.7568958027185319E-2</v>
      </c>
      <c r="AQ62" s="39"/>
      <c r="AR62" s="39" t="e">
        <f t="shared" si="21"/>
        <v>#REF!</v>
      </c>
      <c r="AS62" s="42"/>
    </row>
    <row r="63" spans="1:45" s="109" customFormat="1" ht="14.25" customHeight="1">
      <c r="A63" s="348"/>
      <c r="B63" s="58" t="str">
        <f>'Activity data -Head Office'!A55</f>
        <v>Gasohol 95 รถยนต์ขนาดกลาง ขนาด 1600 cc (ประจำตำแหน่งผู้ช่วยผู้จัดการ)</v>
      </c>
      <c r="C63" s="242" t="str">
        <f>'Activity data -Head Office'!E55</f>
        <v>Litre</v>
      </c>
      <c r="D63" s="239">
        <f>'Activity data -Head Office'!F55</f>
        <v>1003.32</v>
      </c>
      <c r="E63" s="423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241">
        <v>2.2719</v>
      </c>
      <c r="R63" s="38"/>
      <c r="S63" s="37"/>
      <c r="T63" s="37"/>
      <c r="U63" s="37" t="s">
        <v>17</v>
      </c>
      <c r="V63" s="37"/>
      <c r="W63" s="37"/>
      <c r="X63" s="37"/>
      <c r="Y63" s="37"/>
      <c r="Z63" s="44" t="s">
        <v>205</v>
      </c>
      <c r="AA63" s="449"/>
      <c r="AB63" s="449"/>
      <c r="AC63" s="449"/>
      <c r="AD63" s="449"/>
      <c r="AE63" s="449"/>
      <c r="AF63" s="449"/>
      <c r="AG63" s="449"/>
      <c r="AH63" s="449"/>
      <c r="AI63" s="449"/>
      <c r="AJ63" s="449"/>
      <c r="AK63" s="449"/>
      <c r="AL63" s="449"/>
      <c r="AM63" s="449"/>
      <c r="AN63" s="449"/>
      <c r="AO63" s="202">
        <f t="shared" si="19"/>
        <v>2.2794427079999999</v>
      </c>
      <c r="AP63" s="39">
        <f t="shared" si="20"/>
        <v>1.3371263592857624E-2</v>
      </c>
      <c r="AQ63" s="39"/>
      <c r="AR63" s="39" t="e">
        <f t="shared" si="21"/>
        <v>#REF!</v>
      </c>
      <c r="AS63" s="42"/>
    </row>
    <row r="64" spans="1:45" s="109" customFormat="1" ht="14.25" customHeight="1">
      <c r="A64" s="348"/>
      <c r="B64" s="58" t="str">
        <f>'Activity data -Head Office'!A56</f>
        <v>Gasohol 95 รถยนต์ขนาดเล็ก ขนาด 1500 cc (ประจำตำแหน่งผู้ช่วยผู้จัดการ, 3กพ991, 6กศ5365, 3ขท8660)</v>
      </c>
      <c r="C64" s="242" t="str">
        <f>'Activity data -Head Office'!E56</f>
        <v>Litre</v>
      </c>
      <c r="D64" s="239">
        <f>'Activity data -Head Office'!F56</f>
        <v>3009.9599999999996</v>
      </c>
      <c r="E64" s="423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241">
        <v>2.2719</v>
      </c>
      <c r="R64" s="38"/>
      <c r="S64" s="37"/>
      <c r="T64" s="37"/>
      <c r="U64" s="37" t="s">
        <v>17</v>
      </c>
      <c r="V64" s="37"/>
      <c r="W64" s="37"/>
      <c r="X64" s="37"/>
      <c r="Y64" s="37"/>
      <c r="Z64" s="44" t="s">
        <v>205</v>
      </c>
      <c r="AA64" s="449"/>
      <c r="AB64" s="449"/>
      <c r="AC64" s="449"/>
      <c r="AD64" s="449"/>
      <c r="AE64" s="449"/>
      <c r="AF64" s="449"/>
      <c r="AG64" s="449"/>
      <c r="AH64" s="449"/>
      <c r="AI64" s="449"/>
      <c r="AJ64" s="449"/>
      <c r="AK64" s="449"/>
      <c r="AL64" s="449"/>
      <c r="AM64" s="449"/>
      <c r="AN64" s="449"/>
      <c r="AO64" s="202">
        <f t="shared" si="19"/>
        <v>6.8383281239999985</v>
      </c>
      <c r="AP64" s="39">
        <f t="shared" si="20"/>
        <v>4.0113790778572862E-2</v>
      </c>
      <c r="AQ64" s="39"/>
      <c r="AR64" s="39" t="e">
        <f t="shared" si="21"/>
        <v>#REF!</v>
      </c>
      <c r="AS64" s="42"/>
    </row>
    <row r="65" spans="1:45" s="109" customFormat="1" ht="14.25" customHeight="1">
      <c r="A65" s="348"/>
      <c r="B65" s="58" t="str">
        <f>'Activity data -Head Office'!A57</f>
        <v>Gasohol 95 รถยนต์ขนาดใหญ่ ขนาด 2000 cc (ประจำตำแหน่งผู้ช่วยผู้จัดการ, 2กค1623)</v>
      </c>
      <c r="C65" s="242" t="str">
        <f>'Activity data -Head Office'!E57</f>
        <v>Litre</v>
      </c>
      <c r="D65" s="239">
        <f>'Activity data -Head Office'!F57</f>
        <v>1433.49</v>
      </c>
      <c r="E65" s="423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241">
        <v>2.2719</v>
      </c>
      <c r="R65" s="38"/>
      <c r="S65" s="37"/>
      <c r="T65" s="37"/>
      <c r="U65" s="37" t="s">
        <v>17</v>
      </c>
      <c r="V65" s="37"/>
      <c r="W65" s="37"/>
      <c r="X65" s="37"/>
      <c r="Y65" s="37"/>
      <c r="Z65" s="44" t="s">
        <v>205</v>
      </c>
      <c r="AA65" s="449"/>
      <c r="AB65" s="449"/>
      <c r="AC65" s="449"/>
      <c r="AD65" s="449"/>
      <c r="AE65" s="449"/>
      <c r="AF65" s="449"/>
      <c r="AG65" s="449"/>
      <c r="AH65" s="449"/>
      <c r="AI65" s="449"/>
      <c r="AJ65" s="449"/>
      <c r="AK65" s="449"/>
      <c r="AL65" s="449"/>
      <c r="AM65" s="449"/>
      <c r="AN65" s="449"/>
      <c r="AO65" s="202">
        <f t="shared" si="19"/>
        <v>3.2567459309999998</v>
      </c>
      <c r="AP65" s="39">
        <f t="shared" si="20"/>
        <v>1.9104146880083599E-2</v>
      </c>
      <c r="AQ65" s="39"/>
      <c r="AR65" s="39" t="e">
        <f t="shared" si="21"/>
        <v>#REF!</v>
      </c>
      <c r="AS65" s="42"/>
    </row>
    <row r="66" spans="1:45" s="109" customFormat="1" ht="14.25" customHeight="1">
      <c r="A66" s="348"/>
      <c r="B66" s="58" t="str">
        <f>'Activity data -Head Office'!A58</f>
        <v>Diesel B7 รถยนต์ขนาดใหญ่ ขนาด 2000 cc (ประจำตำแหน่งผู้ช่วยกรรมการสายงาน, 7กส9947)</v>
      </c>
      <c r="C66" s="242" t="str">
        <f>'Activity data -Head Office'!E58</f>
        <v>Litre</v>
      </c>
      <c r="D66" s="239">
        <f>'Activity data -Head Office'!F58</f>
        <v>1457.1658166363088</v>
      </c>
      <c r="E66" s="423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241">
        <v>2.7406000000000001</v>
      </c>
      <c r="R66" s="38"/>
      <c r="S66" s="37"/>
      <c r="T66" s="37"/>
      <c r="U66" s="37" t="s">
        <v>17</v>
      </c>
      <c r="V66" s="37"/>
      <c r="W66" s="37"/>
      <c r="X66" s="37"/>
      <c r="Y66" s="37"/>
      <c r="Z66" s="44" t="s">
        <v>211</v>
      </c>
      <c r="AA66" s="449"/>
      <c r="AB66" s="449"/>
      <c r="AC66" s="449"/>
      <c r="AD66" s="449"/>
      <c r="AE66" s="449"/>
      <c r="AF66" s="449"/>
      <c r="AG66" s="449"/>
      <c r="AH66" s="449"/>
      <c r="AI66" s="449"/>
      <c r="AJ66" s="449"/>
      <c r="AK66" s="449"/>
      <c r="AL66" s="449"/>
      <c r="AM66" s="449"/>
      <c r="AN66" s="449"/>
      <c r="AO66" s="202"/>
      <c r="AP66" s="39"/>
      <c r="AQ66" s="39"/>
      <c r="AR66" s="39"/>
      <c r="AS66" s="42"/>
    </row>
    <row r="67" spans="1:45" s="109" customFormat="1" ht="14.25" customHeight="1">
      <c r="A67" s="348"/>
      <c r="B67" s="58" t="str">
        <f>'Activity data -Head Office'!A59</f>
        <v>Diesel B7 รถยนต์ขนาดใหญ่ ขนาด 2000 cc (ประจำตำแหน่งฝ่ายขาย, กช5กข8079)</v>
      </c>
      <c r="C67" s="242" t="str">
        <f>'Activity data -Head Office'!E59</f>
        <v>Litre</v>
      </c>
      <c r="D67" s="239">
        <f>'Activity data -Head Office'!F59</f>
        <v>969.7700000000001</v>
      </c>
      <c r="E67" s="423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241">
        <v>2.7406000000000001</v>
      </c>
      <c r="R67" s="38"/>
      <c r="S67" s="37"/>
      <c r="T67" s="37"/>
      <c r="U67" s="37" t="s">
        <v>17</v>
      </c>
      <c r="V67" s="37"/>
      <c r="W67" s="37"/>
      <c r="X67" s="37"/>
      <c r="Y67" s="37"/>
      <c r="Z67" s="44" t="s">
        <v>211</v>
      </c>
      <c r="AA67" s="449"/>
      <c r="AB67" s="449"/>
      <c r="AC67" s="449"/>
      <c r="AD67" s="449"/>
      <c r="AE67" s="449"/>
      <c r="AF67" s="449"/>
      <c r="AG67" s="449"/>
      <c r="AH67" s="449"/>
      <c r="AI67" s="449"/>
      <c r="AJ67" s="449"/>
      <c r="AK67" s="449"/>
      <c r="AL67" s="449"/>
      <c r="AM67" s="449"/>
      <c r="AN67" s="449"/>
      <c r="AO67" s="202">
        <f t="shared" si="19"/>
        <v>2.6577516620000008</v>
      </c>
      <c r="AP67" s="39">
        <f t="shared" ref="AP67:AP73" si="22">AO67/$AO$94</f>
        <v>1.5590432658050142E-2</v>
      </c>
      <c r="AQ67" s="39"/>
      <c r="AR67" s="39" t="e">
        <f t="shared" ref="AR67:AR73" si="23">AO67/$AO$96</f>
        <v>#REF!</v>
      </c>
      <c r="AS67" s="42"/>
    </row>
    <row r="68" spans="1:45" s="109" customFormat="1" ht="14.25" customHeight="1">
      <c r="A68" s="348"/>
      <c r="B68" s="58" t="str">
        <f>'Activity data -Head Office'!A60</f>
        <v>Gasohol 95 รถยนต์ขนาดเล็ก ขนาด 1500 cc (ประจำตำแหน่งฝ่ายขาย, กบ6320)</v>
      </c>
      <c r="C68" s="242" t="str">
        <f>'Activity data -Head Office'!E60</f>
        <v>Litre</v>
      </c>
      <c r="D68" s="239">
        <f>'Activity data -Head Office'!F60</f>
        <v>837.68999999999994</v>
      </c>
      <c r="E68" s="423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241">
        <v>2.2719</v>
      </c>
      <c r="R68" s="38"/>
      <c r="S68" s="37"/>
      <c r="T68" s="37"/>
      <c r="U68" s="37" t="s">
        <v>17</v>
      </c>
      <c r="V68" s="37"/>
      <c r="W68" s="37"/>
      <c r="X68" s="37"/>
      <c r="Y68" s="37"/>
      <c r="Z68" s="44" t="s">
        <v>205</v>
      </c>
      <c r="AA68" s="449"/>
      <c r="AB68" s="449"/>
      <c r="AC68" s="449"/>
      <c r="AD68" s="449"/>
      <c r="AE68" s="449"/>
      <c r="AF68" s="449"/>
      <c r="AG68" s="449"/>
      <c r="AH68" s="449"/>
      <c r="AI68" s="449"/>
      <c r="AJ68" s="449"/>
      <c r="AK68" s="449"/>
      <c r="AL68" s="449"/>
      <c r="AM68" s="449"/>
      <c r="AN68" s="449"/>
      <c r="AO68" s="202">
        <f t="shared" si="19"/>
        <v>1.9031479109999998</v>
      </c>
      <c r="AP68" s="39">
        <f t="shared" si="22"/>
        <v>1.1163909619165274E-2</v>
      </c>
      <c r="AQ68" s="39"/>
      <c r="AR68" s="39" t="e">
        <f t="shared" si="23"/>
        <v>#REF!</v>
      </c>
      <c r="AS68" s="42"/>
    </row>
    <row r="69" spans="1:45" s="109" customFormat="1" ht="14.25" customHeight="1">
      <c r="A69" s="348"/>
      <c r="B69" s="58" t="str">
        <f>'Activity data -Head Office'!A61</f>
        <v>Gasohol 91 รถจักรยานยนต์ (ประจำตำแหน่งคนส่งเอกสาร)</v>
      </c>
      <c r="C69" s="242" t="str">
        <f>'Activity data -Head Office'!E61</f>
        <v>Litre</v>
      </c>
      <c r="D69" s="239">
        <f>'Activity data -Head Office'!F61</f>
        <v>5079.34</v>
      </c>
      <c r="E69" s="423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268">
        <v>2.2719</v>
      </c>
      <c r="R69" s="198"/>
      <c r="S69" s="241"/>
      <c r="T69" s="241"/>
      <c r="U69" s="37" t="s">
        <v>17</v>
      </c>
      <c r="V69" s="37"/>
      <c r="W69" s="37"/>
      <c r="X69" s="37"/>
      <c r="Y69" s="44"/>
      <c r="Z69" s="44" t="s">
        <v>205</v>
      </c>
      <c r="AA69" s="449"/>
      <c r="AB69" s="449"/>
      <c r="AC69" s="449"/>
      <c r="AD69" s="449"/>
      <c r="AE69" s="449"/>
      <c r="AF69" s="449"/>
      <c r="AG69" s="449"/>
      <c r="AH69" s="449"/>
      <c r="AI69" s="449"/>
      <c r="AJ69" s="449"/>
      <c r="AK69" s="449"/>
      <c r="AL69" s="449"/>
      <c r="AM69" s="449"/>
      <c r="AN69" s="449"/>
      <c r="AO69" s="202">
        <f t="shared" si="19"/>
        <v>11.539752545999999</v>
      </c>
      <c r="AP69" s="39">
        <f t="shared" si="22"/>
        <v>6.7692455066923257E-2</v>
      </c>
      <c r="AQ69" s="39"/>
      <c r="AR69" s="39" t="e">
        <f t="shared" si="23"/>
        <v>#REF!</v>
      </c>
      <c r="AS69" s="42"/>
    </row>
    <row r="70" spans="1:45" s="109" customFormat="1" ht="14.25" customHeight="1">
      <c r="A70" s="348"/>
      <c r="B70" s="335" t="s">
        <v>158</v>
      </c>
      <c r="C70" s="336"/>
      <c r="D70" s="337"/>
      <c r="E70" s="423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5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449"/>
      <c r="AB70" s="449"/>
      <c r="AC70" s="449"/>
      <c r="AD70" s="449"/>
      <c r="AE70" s="449"/>
      <c r="AF70" s="449"/>
      <c r="AG70" s="449"/>
      <c r="AH70" s="449"/>
      <c r="AI70" s="449"/>
      <c r="AJ70" s="449"/>
      <c r="AK70" s="449"/>
      <c r="AL70" s="449"/>
      <c r="AM70" s="449"/>
      <c r="AN70" s="449"/>
      <c r="AO70" s="202">
        <f t="shared" si="19"/>
        <v>0</v>
      </c>
      <c r="AP70" s="39">
        <f t="shared" si="22"/>
        <v>0</v>
      </c>
      <c r="AQ70" s="39"/>
      <c r="AR70" s="39" t="e">
        <f t="shared" si="23"/>
        <v>#REF!</v>
      </c>
      <c r="AS70" s="42"/>
    </row>
    <row r="71" spans="1:45" s="109" customFormat="1" ht="14.25" customHeight="1">
      <c r="A71" s="348"/>
      <c r="B71" s="58" t="str">
        <f>'Activity data -Head Office'!A63</f>
        <v>Diesel B7,B10,B20</v>
      </c>
      <c r="C71" s="236" t="str">
        <f>'Activity data -Head Office'!E63</f>
        <v>Lite</v>
      </c>
      <c r="D71" s="243">
        <f>'Activity data -Head Office'!F63</f>
        <v>4668.82</v>
      </c>
      <c r="E71" s="423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241">
        <v>2.7406000000000001</v>
      </c>
      <c r="R71" s="38"/>
      <c r="S71" s="37"/>
      <c r="T71" s="37"/>
      <c r="U71" s="37" t="s">
        <v>17</v>
      </c>
      <c r="V71" s="37"/>
      <c r="W71" s="37"/>
      <c r="X71" s="37"/>
      <c r="Y71" s="37"/>
      <c r="Z71" s="44" t="s">
        <v>211</v>
      </c>
      <c r="AA71" s="449"/>
      <c r="AB71" s="449"/>
      <c r="AC71" s="449"/>
      <c r="AD71" s="449"/>
      <c r="AE71" s="449"/>
      <c r="AF71" s="449"/>
      <c r="AG71" s="449"/>
      <c r="AH71" s="449"/>
      <c r="AI71" s="449"/>
      <c r="AJ71" s="449"/>
      <c r="AK71" s="449"/>
      <c r="AL71" s="449"/>
      <c r="AM71" s="449"/>
      <c r="AN71" s="449"/>
      <c r="AO71" s="202">
        <f t="shared" si="19"/>
        <v>12.795368092</v>
      </c>
      <c r="AP71" s="39">
        <f t="shared" si="22"/>
        <v>7.5057924871420698E-2</v>
      </c>
      <c r="AQ71" s="39"/>
      <c r="AR71" s="39" t="e">
        <f t="shared" si="23"/>
        <v>#REF!</v>
      </c>
      <c r="AS71" s="42"/>
    </row>
    <row r="72" spans="1:45" s="109" customFormat="1" ht="14.25" customHeight="1">
      <c r="A72" s="348"/>
      <c r="B72" s="58" t="str">
        <f>'Activity data -Head Office'!A64</f>
        <v>Gasohol 91</v>
      </c>
      <c r="C72" s="236" t="str">
        <f>'Activity data -Head Office'!E64</f>
        <v>Lite</v>
      </c>
      <c r="D72" s="243">
        <f>'Activity data -Head Office'!F64</f>
        <v>1565.1</v>
      </c>
      <c r="E72" s="423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241">
        <v>2.2719</v>
      </c>
      <c r="R72" s="38"/>
      <c r="S72" s="37"/>
      <c r="T72" s="37"/>
      <c r="U72" s="37" t="s">
        <v>17</v>
      </c>
      <c r="V72" s="37"/>
      <c r="W72" s="37"/>
      <c r="X72" s="37"/>
      <c r="Y72" s="37"/>
      <c r="Z72" s="44" t="s">
        <v>205</v>
      </c>
      <c r="AA72" s="449"/>
      <c r="AB72" s="449"/>
      <c r="AC72" s="449"/>
      <c r="AD72" s="449"/>
      <c r="AE72" s="449"/>
      <c r="AF72" s="449"/>
      <c r="AG72" s="449"/>
      <c r="AH72" s="449"/>
      <c r="AI72" s="449"/>
      <c r="AJ72" s="449"/>
      <c r="AK72" s="449"/>
      <c r="AL72" s="449"/>
      <c r="AM72" s="449"/>
      <c r="AN72" s="449"/>
      <c r="AO72" s="202">
        <f t="shared" si="19"/>
        <v>3.55575069</v>
      </c>
      <c r="AP72" s="39">
        <f t="shared" si="22"/>
        <v>2.0858115705040734E-2</v>
      </c>
      <c r="AQ72" s="39"/>
      <c r="AR72" s="39" t="e">
        <f t="shared" si="23"/>
        <v>#REF!</v>
      </c>
      <c r="AS72" s="42"/>
    </row>
    <row r="73" spans="1:45" s="109" customFormat="1" ht="14.25" customHeight="1">
      <c r="A73" s="348"/>
      <c r="B73" s="58" t="str">
        <f>'Activity data -Head Office'!A65</f>
        <v>Gasohol 95</v>
      </c>
      <c r="C73" s="236" t="str">
        <f>'Activity data -Head Office'!E65</f>
        <v>Lite</v>
      </c>
      <c r="D73" s="243">
        <f>'Activity data -Head Office'!F65</f>
        <v>15823.54</v>
      </c>
      <c r="E73" s="423"/>
      <c r="F73" s="424"/>
      <c r="G73" s="424"/>
      <c r="H73" s="424"/>
      <c r="I73" s="424"/>
      <c r="J73" s="424"/>
      <c r="K73" s="424"/>
      <c r="L73" s="424"/>
      <c r="M73" s="424"/>
      <c r="N73" s="424"/>
      <c r="O73" s="424"/>
      <c r="P73" s="424"/>
      <c r="Q73" s="241">
        <v>2.2719</v>
      </c>
      <c r="R73" s="38"/>
      <c r="S73" s="37"/>
      <c r="T73" s="37"/>
      <c r="U73" s="37" t="s">
        <v>17</v>
      </c>
      <c r="V73" s="37"/>
      <c r="W73" s="37"/>
      <c r="X73" s="37"/>
      <c r="Y73" s="37"/>
      <c r="Z73" s="44" t="s">
        <v>205</v>
      </c>
      <c r="AA73" s="449"/>
      <c r="AB73" s="449"/>
      <c r="AC73" s="449"/>
      <c r="AD73" s="449"/>
      <c r="AE73" s="449"/>
      <c r="AF73" s="449"/>
      <c r="AG73" s="449"/>
      <c r="AH73" s="449"/>
      <c r="AI73" s="449"/>
      <c r="AJ73" s="449"/>
      <c r="AK73" s="449"/>
      <c r="AL73" s="449"/>
      <c r="AM73" s="449"/>
      <c r="AN73" s="449"/>
      <c r="AO73" s="202">
        <f t="shared" si="19"/>
        <v>35.949500526000001</v>
      </c>
      <c r="AP73" s="39">
        <f t="shared" si="22"/>
        <v>0.21088060071774342</v>
      </c>
      <c r="AQ73" s="39"/>
      <c r="AR73" s="39" t="e">
        <f t="shared" si="23"/>
        <v>#REF!</v>
      </c>
      <c r="AS73" s="42"/>
    </row>
    <row r="74" spans="1:45" s="109" customFormat="1" ht="14.25" customHeight="1">
      <c r="A74" s="348"/>
      <c r="B74" s="58" t="str">
        <f>'Activity data -Head Office'!A66</f>
        <v>Gasohol E20</v>
      </c>
      <c r="C74" s="236" t="str">
        <f>'Activity data -Head Office'!E66</f>
        <v>Lite</v>
      </c>
      <c r="D74" s="243">
        <f>'Activity data -Head Office'!F66</f>
        <v>5713.37</v>
      </c>
      <c r="E74" s="423"/>
      <c r="F74" s="424"/>
      <c r="G74" s="424"/>
      <c r="H74" s="424"/>
      <c r="I74" s="424"/>
      <c r="J74" s="424"/>
      <c r="K74" s="424"/>
      <c r="L74" s="424"/>
      <c r="M74" s="424"/>
      <c r="N74" s="424"/>
      <c r="O74" s="424"/>
      <c r="P74" s="424"/>
      <c r="Q74" s="241">
        <v>2.2719</v>
      </c>
      <c r="R74" s="38"/>
      <c r="S74" s="37"/>
      <c r="T74" s="37"/>
      <c r="U74" s="37" t="s">
        <v>17</v>
      </c>
      <c r="V74" s="37"/>
      <c r="W74" s="37"/>
      <c r="X74" s="37"/>
      <c r="Y74" s="37"/>
      <c r="Z74" s="44" t="s">
        <v>205</v>
      </c>
      <c r="AA74" s="449"/>
      <c r="AB74" s="449"/>
      <c r="AC74" s="449"/>
      <c r="AD74" s="449"/>
      <c r="AE74" s="449"/>
      <c r="AF74" s="449"/>
      <c r="AG74" s="449"/>
      <c r="AH74" s="449"/>
      <c r="AI74" s="449"/>
      <c r="AJ74" s="449"/>
      <c r="AK74" s="449"/>
      <c r="AL74" s="449"/>
      <c r="AM74" s="449"/>
      <c r="AN74" s="449"/>
      <c r="AO74" s="202">
        <f t="shared" si="19"/>
        <v>12.980205303</v>
      </c>
      <c r="AP74" s="39">
        <f t="shared" ref="AP74:AP93" si="24">AO74/$AO$94</f>
        <v>7.614218422190823E-2</v>
      </c>
      <c r="AQ74" s="39"/>
      <c r="AR74" s="39" t="e">
        <f t="shared" ref="AR74:AR93" si="25">AO74/$AO$96</f>
        <v>#REF!</v>
      </c>
      <c r="AS74" s="42"/>
    </row>
    <row r="75" spans="1:45" s="109" customFormat="1" ht="14.25" customHeight="1">
      <c r="A75" s="348"/>
      <c r="B75" s="58" t="str">
        <f>'Activity data -Head Office'!A67</f>
        <v>Gasoline</v>
      </c>
      <c r="C75" s="236" t="str">
        <f>'Activity data -Head Office'!E67</f>
        <v>Lite</v>
      </c>
      <c r="D75" s="243">
        <f>'Activity data -Head Office'!F67</f>
        <v>5726.86</v>
      </c>
      <c r="E75" s="423"/>
      <c r="F75" s="424"/>
      <c r="G75" s="424"/>
      <c r="H75" s="424"/>
      <c r="I75" s="424"/>
      <c r="J75" s="424"/>
      <c r="K75" s="424"/>
      <c r="L75" s="424"/>
      <c r="M75" s="424"/>
      <c r="N75" s="424"/>
      <c r="O75" s="424"/>
      <c r="P75" s="424"/>
      <c r="Q75" s="241">
        <v>2.2719</v>
      </c>
      <c r="R75" s="38"/>
      <c r="S75" s="37"/>
      <c r="T75" s="37"/>
      <c r="U75" s="37" t="s">
        <v>17</v>
      </c>
      <c r="V75" s="37"/>
      <c r="W75" s="37"/>
      <c r="X75" s="37"/>
      <c r="Y75" s="37"/>
      <c r="Z75" s="44" t="s">
        <v>205</v>
      </c>
      <c r="AA75" s="449"/>
      <c r="AB75" s="449"/>
      <c r="AC75" s="449"/>
      <c r="AD75" s="449"/>
      <c r="AE75" s="449"/>
      <c r="AF75" s="449"/>
      <c r="AG75" s="449"/>
      <c r="AH75" s="449"/>
      <c r="AI75" s="449"/>
      <c r="AJ75" s="449"/>
      <c r="AK75" s="449"/>
      <c r="AL75" s="449"/>
      <c r="AM75" s="449"/>
      <c r="AN75" s="449"/>
      <c r="AO75" s="202">
        <f t="shared" si="19"/>
        <v>13.010853234000001</v>
      </c>
      <c r="AP75" s="39">
        <f t="shared" si="24"/>
        <v>7.6321965693290889E-2</v>
      </c>
      <c r="AQ75" s="39"/>
      <c r="AR75" s="39" t="e">
        <f t="shared" si="25"/>
        <v>#REF!</v>
      </c>
      <c r="AS75" s="42"/>
    </row>
    <row r="76" spans="1:45" s="109" customFormat="1" ht="14.25" customHeight="1">
      <c r="A76" s="348"/>
      <c r="B76" s="58" t="str">
        <f>'Activity data -Head Office'!A68</f>
        <v>LPG</v>
      </c>
      <c r="C76" s="236" t="str">
        <f>'Activity data -Head Office'!E68</f>
        <v>kg</v>
      </c>
      <c r="D76" s="243">
        <f>'Activity data -Head Office'!F68</f>
        <v>305.8</v>
      </c>
      <c r="E76" s="423"/>
      <c r="F76" s="424"/>
      <c r="G76" s="424"/>
      <c r="H76" s="424"/>
      <c r="I76" s="424"/>
      <c r="J76" s="424"/>
      <c r="K76" s="424"/>
      <c r="L76" s="424"/>
      <c r="M76" s="424"/>
      <c r="N76" s="424"/>
      <c r="O76" s="424"/>
      <c r="P76" s="424"/>
      <c r="Q76" s="190">
        <v>2.2608999999999999</v>
      </c>
      <c r="R76" s="169"/>
      <c r="S76" s="200"/>
      <c r="T76" s="169"/>
      <c r="U76" s="200" t="s">
        <v>17</v>
      </c>
      <c r="V76" s="169"/>
      <c r="W76" s="169"/>
      <c r="X76" s="169"/>
      <c r="Y76" s="169"/>
      <c r="Z76" s="189" t="s">
        <v>204</v>
      </c>
      <c r="AA76" s="449"/>
      <c r="AB76" s="449"/>
      <c r="AC76" s="449"/>
      <c r="AD76" s="449"/>
      <c r="AE76" s="449"/>
      <c r="AF76" s="449"/>
      <c r="AG76" s="449"/>
      <c r="AH76" s="449"/>
      <c r="AI76" s="449"/>
      <c r="AJ76" s="449"/>
      <c r="AK76" s="449"/>
      <c r="AL76" s="449"/>
      <c r="AM76" s="449"/>
      <c r="AN76" s="449"/>
      <c r="AO76" s="202">
        <f t="shared" si="19"/>
        <v>0.69138322000000008</v>
      </c>
      <c r="AP76" s="39">
        <f t="shared" si="24"/>
        <v>4.0556699432950493E-3</v>
      </c>
      <c r="AQ76" s="39"/>
      <c r="AR76" s="39" t="e">
        <f t="shared" si="25"/>
        <v>#REF!</v>
      </c>
      <c r="AS76" s="42"/>
    </row>
    <row r="77" spans="1:45" s="109" customFormat="1" ht="14.25" customHeight="1">
      <c r="A77" s="348"/>
      <c r="B77" s="426" t="s">
        <v>159</v>
      </c>
      <c r="C77" s="336"/>
      <c r="D77" s="337"/>
      <c r="E77" s="423"/>
      <c r="F77" s="424"/>
      <c r="G77" s="424"/>
      <c r="H77" s="424"/>
      <c r="I77" s="424"/>
      <c r="J77" s="424"/>
      <c r="K77" s="424"/>
      <c r="L77" s="424"/>
      <c r="M77" s="424"/>
      <c r="N77" s="424"/>
      <c r="O77" s="424"/>
      <c r="P77" s="425"/>
      <c r="Q77" s="342"/>
      <c r="R77" s="342"/>
      <c r="S77" s="342"/>
      <c r="T77" s="342"/>
      <c r="U77" s="342"/>
      <c r="V77" s="342"/>
      <c r="W77" s="342"/>
      <c r="X77" s="342"/>
      <c r="Y77" s="342"/>
      <c r="Z77" s="343"/>
      <c r="AA77" s="449"/>
      <c r="AB77" s="449"/>
      <c r="AC77" s="449"/>
      <c r="AD77" s="449"/>
      <c r="AE77" s="449"/>
      <c r="AF77" s="449"/>
      <c r="AG77" s="449"/>
      <c r="AH77" s="449"/>
      <c r="AI77" s="449"/>
      <c r="AJ77" s="449"/>
      <c r="AK77" s="449"/>
      <c r="AL77" s="449"/>
      <c r="AM77" s="449"/>
      <c r="AN77" s="449"/>
      <c r="AO77" s="202">
        <f t="shared" si="19"/>
        <v>0</v>
      </c>
      <c r="AP77" s="39">
        <f t="shared" si="24"/>
        <v>0</v>
      </c>
      <c r="AQ77" s="39"/>
      <c r="AR77" s="39" t="e">
        <f t="shared" si="25"/>
        <v>#REF!</v>
      </c>
      <c r="AS77" s="42"/>
    </row>
    <row r="78" spans="1:45" s="109" customFormat="1" ht="14.25" customHeight="1">
      <c r="A78" s="349"/>
      <c r="B78" s="53" t="str">
        <f>'Activity data -Head Office'!A71</f>
        <v>การเช่าไฟฟ้าจากโกดัง</v>
      </c>
      <c r="C78" s="271" t="str">
        <f>'Activity data -Head Office'!E71</f>
        <v>Kwh</v>
      </c>
      <c r="D78" s="243">
        <f>'Activity data -Head Office'!F71</f>
        <v>2110</v>
      </c>
      <c r="E78" s="423"/>
      <c r="F78" s="424"/>
      <c r="G78" s="424"/>
      <c r="H78" s="424"/>
      <c r="I78" s="424"/>
      <c r="J78" s="424"/>
      <c r="K78" s="424"/>
      <c r="L78" s="424"/>
      <c r="M78" s="424"/>
      <c r="N78" s="424"/>
      <c r="O78" s="424"/>
      <c r="P78" s="425"/>
      <c r="Q78" s="269">
        <v>0.59860000000000002</v>
      </c>
      <c r="R78" s="37"/>
      <c r="S78" s="37"/>
      <c r="T78" s="37"/>
      <c r="U78" s="37" t="s">
        <v>17</v>
      </c>
      <c r="V78" s="37"/>
      <c r="W78" s="37"/>
      <c r="X78" s="37"/>
      <c r="Y78" s="37"/>
      <c r="Z78" s="204" t="s">
        <v>164</v>
      </c>
      <c r="AA78" s="449"/>
      <c r="AB78" s="449"/>
      <c r="AC78" s="449"/>
      <c r="AD78" s="449"/>
      <c r="AE78" s="449"/>
      <c r="AF78" s="449"/>
      <c r="AG78" s="449"/>
      <c r="AH78" s="449"/>
      <c r="AI78" s="449"/>
      <c r="AJ78" s="449"/>
      <c r="AK78" s="449"/>
      <c r="AL78" s="449"/>
      <c r="AM78" s="449"/>
      <c r="AN78" s="449"/>
      <c r="AO78" s="202">
        <f t="shared" si="19"/>
        <v>1.2630460000000001</v>
      </c>
      <c r="AP78" s="39">
        <f t="shared" si="24"/>
        <v>7.4090570193459989E-3</v>
      </c>
      <c r="AQ78" s="39"/>
      <c r="AR78" s="39" t="e">
        <f t="shared" si="25"/>
        <v>#REF!</v>
      </c>
      <c r="AS78" s="42"/>
    </row>
    <row r="79" spans="1:45" s="109" customFormat="1" ht="14.25" customHeight="1">
      <c r="A79" s="349"/>
      <c r="B79" s="56" t="str">
        <f>'Activity data -Head Office'!A72</f>
        <v>การเช่าน้ำประปาจากโกดัง</v>
      </c>
      <c r="C79" s="271" t="str">
        <f>'Activity data -Head Office'!E72</f>
        <v>Lite</v>
      </c>
      <c r="D79" s="243">
        <f>'Activity data -Head Office'!F72</f>
        <v>17</v>
      </c>
      <c r="E79" s="423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5"/>
      <c r="Q79" s="241">
        <v>0.7984</v>
      </c>
      <c r="R79" s="241"/>
      <c r="S79" s="200"/>
      <c r="T79" s="241"/>
      <c r="U79" s="37" t="s">
        <v>17</v>
      </c>
      <c r="V79" s="37"/>
      <c r="W79" s="37"/>
      <c r="X79" s="37"/>
      <c r="Y79" s="37"/>
      <c r="Z79" s="204" t="s">
        <v>215</v>
      </c>
      <c r="AA79" s="449"/>
      <c r="AB79" s="449"/>
      <c r="AC79" s="449"/>
      <c r="AD79" s="449"/>
      <c r="AE79" s="449"/>
      <c r="AF79" s="449"/>
      <c r="AG79" s="449"/>
      <c r="AH79" s="449"/>
      <c r="AI79" s="449"/>
      <c r="AJ79" s="449"/>
      <c r="AK79" s="449"/>
      <c r="AL79" s="449"/>
      <c r="AM79" s="449"/>
      <c r="AN79" s="449"/>
      <c r="AO79" s="202">
        <f t="shared" si="19"/>
        <v>1.3572800000000001E-2</v>
      </c>
      <c r="AP79" s="39">
        <f t="shared" si="24"/>
        <v>7.9618358406724203E-5</v>
      </c>
      <c r="AQ79" s="39"/>
      <c r="AR79" s="39" t="e">
        <f t="shared" si="25"/>
        <v>#REF!</v>
      </c>
      <c r="AS79" s="42"/>
    </row>
    <row r="80" spans="1:45" s="109" customFormat="1" ht="14.25" customHeight="1">
      <c r="A80" s="348"/>
      <c r="B80" s="448" t="s">
        <v>76</v>
      </c>
      <c r="C80" s="336"/>
      <c r="D80" s="337"/>
      <c r="E80" s="423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5"/>
      <c r="Q80" s="429"/>
      <c r="R80" s="429"/>
      <c r="S80" s="429"/>
      <c r="T80" s="429"/>
      <c r="U80" s="429"/>
      <c r="V80" s="429"/>
      <c r="W80" s="429"/>
      <c r="X80" s="429"/>
      <c r="Y80" s="429"/>
      <c r="Z80" s="430"/>
      <c r="AA80" s="449"/>
      <c r="AB80" s="449"/>
      <c r="AC80" s="449"/>
      <c r="AD80" s="449"/>
      <c r="AE80" s="449"/>
      <c r="AF80" s="449"/>
      <c r="AG80" s="449"/>
      <c r="AH80" s="449"/>
      <c r="AI80" s="449"/>
      <c r="AJ80" s="449"/>
      <c r="AK80" s="449"/>
      <c r="AL80" s="449"/>
      <c r="AM80" s="449"/>
      <c r="AN80" s="449"/>
      <c r="AO80" s="202">
        <f t="shared" si="19"/>
        <v>0</v>
      </c>
      <c r="AP80" s="39">
        <f t="shared" si="24"/>
        <v>0</v>
      </c>
      <c r="AQ80" s="39"/>
      <c r="AR80" s="39" t="e">
        <f t="shared" si="25"/>
        <v>#REF!</v>
      </c>
      <c r="AS80" s="42"/>
    </row>
    <row r="81" spans="1:45" s="109" customFormat="1" ht="14.25" customHeight="1">
      <c r="A81" s="348"/>
      <c r="B81" s="58" t="s">
        <v>9</v>
      </c>
      <c r="C81" s="244"/>
      <c r="D81" s="239"/>
      <c r="E81" s="423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62"/>
      <c r="R81" s="171"/>
      <c r="S81" s="171"/>
      <c r="T81" s="171"/>
      <c r="U81" s="171"/>
      <c r="V81" s="171"/>
      <c r="W81" s="171"/>
      <c r="X81" s="171"/>
      <c r="Y81" s="171"/>
      <c r="Z81" s="205"/>
      <c r="AA81" s="449"/>
      <c r="AB81" s="449"/>
      <c r="AC81" s="449"/>
      <c r="AD81" s="449"/>
      <c r="AE81" s="449"/>
      <c r="AF81" s="449"/>
      <c r="AG81" s="449"/>
      <c r="AH81" s="449"/>
      <c r="AI81" s="449"/>
      <c r="AJ81" s="449"/>
      <c r="AK81" s="449"/>
      <c r="AL81" s="449"/>
      <c r="AM81" s="449"/>
      <c r="AN81" s="449"/>
      <c r="AO81" s="202">
        <f t="shared" si="19"/>
        <v>0</v>
      </c>
      <c r="AP81" s="39">
        <f t="shared" si="24"/>
        <v>0</v>
      </c>
      <c r="AQ81" s="39"/>
      <c r="AR81" s="39" t="e">
        <f t="shared" si="25"/>
        <v>#REF!</v>
      </c>
      <c r="AS81" s="42"/>
    </row>
    <row r="82" spans="1:45" s="109" customFormat="1" ht="14.25" customHeight="1">
      <c r="A82" s="348"/>
      <c r="B82" s="335" t="s">
        <v>160</v>
      </c>
      <c r="C82" s="336"/>
      <c r="D82" s="337"/>
      <c r="E82" s="423"/>
      <c r="F82" s="424"/>
      <c r="G82" s="424"/>
      <c r="H82" s="424"/>
      <c r="I82" s="424"/>
      <c r="J82" s="424"/>
      <c r="K82" s="424"/>
      <c r="L82" s="424"/>
      <c r="M82" s="424"/>
      <c r="N82" s="424"/>
      <c r="O82" s="424"/>
      <c r="P82" s="424"/>
      <c r="Q82" s="344"/>
      <c r="R82" s="344"/>
      <c r="S82" s="344"/>
      <c r="T82" s="344"/>
      <c r="U82" s="344"/>
      <c r="V82" s="344"/>
      <c r="W82" s="344"/>
      <c r="X82" s="344"/>
      <c r="Y82" s="344"/>
      <c r="Z82" s="444"/>
      <c r="AA82" s="449"/>
      <c r="AB82" s="449"/>
      <c r="AC82" s="449"/>
      <c r="AD82" s="449"/>
      <c r="AE82" s="449"/>
      <c r="AF82" s="449"/>
      <c r="AG82" s="449"/>
      <c r="AH82" s="449"/>
      <c r="AI82" s="449"/>
      <c r="AJ82" s="449"/>
      <c r="AK82" s="449"/>
      <c r="AL82" s="449"/>
      <c r="AM82" s="449"/>
      <c r="AN82" s="449"/>
      <c r="AO82" s="202">
        <f t="shared" si="19"/>
        <v>0</v>
      </c>
      <c r="AP82" s="39">
        <f t="shared" si="24"/>
        <v>0</v>
      </c>
      <c r="AQ82" s="39"/>
      <c r="AR82" s="39" t="e">
        <f t="shared" si="25"/>
        <v>#REF!</v>
      </c>
      <c r="AS82" s="42"/>
    </row>
    <row r="83" spans="1:45" s="109" customFormat="1" ht="14.25" customHeight="1">
      <c r="A83" s="348"/>
      <c r="B83" s="58" t="s">
        <v>9</v>
      </c>
      <c r="C83" s="236"/>
      <c r="D83" s="239"/>
      <c r="E83" s="423"/>
      <c r="F83" s="424"/>
      <c r="G83" s="424"/>
      <c r="H83" s="424"/>
      <c r="I83" s="424"/>
      <c r="J83" s="424"/>
      <c r="K83" s="424"/>
      <c r="L83" s="424"/>
      <c r="M83" s="424"/>
      <c r="N83" s="424"/>
      <c r="O83" s="424"/>
      <c r="P83" s="425"/>
      <c r="Q83" s="50"/>
      <c r="R83" s="167"/>
      <c r="S83" s="167"/>
      <c r="T83" s="167"/>
      <c r="U83" s="167"/>
      <c r="V83" s="167"/>
      <c r="W83" s="167"/>
      <c r="X83" s="167"/>
      <c r="Y83" s="167"/>
      <c r="Z83" s="188"/>
      <c r="AA83" s="449"/>
      <c r="AB83" s="449"/>
      <c r="AC83" s="449"/>
      <c r="AD83" s="449"/>
      <c r="AE83" s="449"/>
      <c r="AF83" s="449"/>
      <c r="AG83" s="449"/>
      <c r="AH83" s="449"/>
      <c r="AI83" s="449"/>
      <c r="AJ83" s="449"/>
      <c r="AK83" s="449"/>
      <c r="AL83" s="449"/>
      <c r="AM83" s="449"/>
      <c r="AN83" s="449"/>
      <c r="AO83" s="202">
        <f t="shared" si="19"/>
        <v>0</v>
      </c>
      <c r="AP83" s="39">
        <f t="shared" si="24"/>
        <v>0</v>
      </c>
      <c r="AQ83" s="39"/>
      <c r="AR83" s="39" t="e">
        <f t="shared" si="25"/>
        <v>#REF!</v>
      </c>
      <c r="AS83" s="42"/>
    </row>
    <row r="84" spans="1:45" s="109" customFormat="1" ht="14.25" customHeight="1">
      <c r="A84" s="348"/>
      <c r="B84" s="335" t="s">
        <v>161</v>
      </c>
      <c r="C84" s="336"/>
      <c r="D84" s="337"/>
      <c r="E84" s="423"/>
      <c r="F84" s="424"/>
      <c r="G84" s="424"/>
      <c r="H84" s="424"/>
      <c r="I84" s="424"/>
      <c r="J84" s="424"/>
      <c r="K84" s="424"/>
      <c r="L84" s="424"/>
      <c r="M84" s="424"/>
      <c r="N84" s="424"/>
      <c r="O84" s="424"/>
      <c r="P84" s="425"/>
      <c r="Q84" s="342"/>
      <c r="R84" s="342"/>
      <c r="S84" s="342"/>
      <c r="T84" s="342"/>
      <c r="U84" s="342"/>
      <c r="V84" s="342"/>
      <c r="W84" s="342"/>
      <c r="X84" s="342"/>
      <c r="Y84" s="342"/>
      <c r="Z84" s="343"/>
      <c r="AA84" s="449"/>
      <c r="AB84" s="449"/>
      <c r="AC84" s="449"/>
      <c r="AD84" s="449"/>
      <c r="AE84" s="449"/>
      <c r="AF84" s="449"/>
      <c r="AG84" s="449"/>
      <c r="AH84" s="449"/>
      <c r="AI84" s="449"/>
      <c r="AJ84" s="449"/>
      <c r="AK84" s="449"/>
      <c r="AL84" s="449"/>
      <c r="AM84" s="449"/>
      <c r="AN84" s="449"/>
      <c r="AO84" s="202">
        <f t="shared" si="19"/>
        <v>0</v>
      </c>
      <c r="AP84" s="39">
        <f t="shared" si="24"/>
        <v>0</v>
      </c>
      <c r="AQ84" s="39"/>
      <c r="AR84" s="39" t="e">
        <f t="shared" si="25"/>
        <v>#REF!</v>
      </c>
      <c r="AS84" s="42"/>
    </row>
    <row r="85" spans="1:45" s="109" customFormat="1" ht="14.25" customHeight="1">
      <c r="A85" s="348"/>
      <c r="B85" s="58" t="s">
        <v>9</v>
      </c>
      <c r="C85" s="236"/>
      <c r="D85" s="239"/>
      <c r="E85" s="423"/>
      <c r="F85" s="424"/>
      <c r="G85" s="424"/>
      <c r="H85" s="424"/>
      <c r="I85" s="424"/>
      <c r="J85" s="424"/>
      <c r="K85" s="424"/>
      <c r="L85" s="424"/>
      <c r="M85" s="424"/>
      <c r="N85" s="424"/>
      <c r="O85" s="424"/>
      <c r="P85" s="425"/>
      <c r="Q85" s="62"/>
      <c r="R85" s="171"/>
      <c r="S85" s="171"/>
      <c r="T85" s="171"/>
      <c r="U85" s="171"/>
      <c r="V85" s="171"/>
      <c r="W85" s="171"/>
      <c r="X85" s="171"/>
      <c r="Y85" s="171"/>
      <c r="Z85" s="61"/>
      <c r="AA85" s="449"/>
      <c r="AB85" s="449"/>
      <c r="AC85" s="449"/>
      <c r="AD85" s="449"/>
      <c r="AE85" s="449"/>
      <c r="AF85" s="449"/>
      <c r="AG85" s="449"/>
      <c r="AH85" s="449"/>
      <c r="AI85" s="449"/>
      <c r="AJ85" s="449"/>
      <c r="AK85" s="449"/>
      <c r="AL85" s="449"/>
      <c r="AM85" s="449"/>
      <c r="AN85" s="449"/>
      <c r="AO85" s="202">
        <f t="shared" si="19"/>
        <v>0</v>
      </c>
      <c r="AP85" s="39">
        <f t="shared" si="24"/>
        <v>0</v>
      </c>
      <c r="AQ85" s="39"/>
      <c r="AR85" s="39" t="e">
        <f t="shared" si="25"/>
        <v>#REF!</v>
      </c>
      <c r="AS85" s="42"/>
    </row>
    <row r="86" spans="1:45" s="109" customFormat="1" ht="14.25" customHeight="1">
      <c r="A86" s="348"/>
      <c r="B86" s="335" t="s">
        <v>162</v>
      </c>
      <c r="C86" s="336"/>
      <c r="D86" s="337"/>
      <c r="E86" s="423"/>
      <c r="F86" s="424"/>
      <c r="G86" s="424"/>
      <c r="H86" s="424"/>
      <c r="I86" s="424"/>
      <c r="J86" s="424"/>
      <c r="K86" s="424"/>
      <c r="L86" s="424"/>
      <c r="M86" s="424"/>
      <c r="N86" s="424"/>
      <c r="O86" s="424"/>
      <c r="P86" s="425"/>
      <c r="Q86" s="342"/>
      <c r="R86" s="342"/>
      <c r="S86" s="342"/>
      <c r="T86" s="342"/>
      <c r="U86" s="342"/>
      <c r="V86" s="342"/>
      <c r="W86" s="342"/>
      <c r="X86" s="342"/>
      <c r="Y86" s="342"/>
      <c r="Z86" s="343"/>
      <c r="AA86" s="449"/>
      <c r="AB86" s="449"/>
      <c r="AC86" s="449"/>
      <c r="AD86" s="449"/>
      <c r="AE86" s="449"/>
      <c r="AF86" s="449"/>
      <c r="AG86" s="449"/>
      <c r="AH86" s="449"/>
      <c r="AI86" s="449"/>
      <c r="AJ86" s="449"/>
      <c r="AK86" s="449"/>
      <c r="AL86" s="449"/>
      <c r="AM86" s="449"/>
      <c r="AN86" s="449"/>
      <c r="AO86" s="202">
        <f t="shared" si="19"/>
        <v>0</v>
      </c>
      <c r="AP86" s="39">
        <f t="shared" si="24"/>
        <v>0</v>
      </c>
      <c r="AQ86" s="39"/>
      <c r="AR86" s="39" t="e">
        <f t="shared" si="25"/>
        <v>#REF!</v>
      </c>
      <c r="AS86" s="42"/>
    </row>
    <row r="87" spans="1:45" s="109" customFormat="1" ht="14.25" customHeight="1">
      <c r="A87" s="348"/>
      <c r="B87" s="58" t="s">
        <v>9</v>
      </c>
      <c r="C87" s="244"/>
      <c r="D87" s="239"/>
      <c r="E87" s="423"/>
      <c r="F87" s="424"/>
      <c r="G87" s="424"/>
      <c r="H87" s="424"/>
      <c r="I87" s="424"/>
      <c r="J87" s="424"/>
      <c r="K87" s="424"/>
      <c r="L87" s="424"/>
      <c r="M87" s="424"/>
      <c r="N87" s="424"/>
      <c r="O87" s="424"/>
      <c r="P87" s="425"/>
      <c r="Q87" s="62"/>
      <c r="R87" s="171"/>
      <c r="S87" s="171"/>
      <c r="T87" s="171"/>
      <c r="U87" s="171"/>
      <c r="V87" s="171"/>
      <c r="W87" s="171"/>
      <c r="X87" s="171"/>
      <c r="Y87" s="171"/>
      <c r="Z87" s="61"/>
      <c r="AA87" s="449"/>
      <c r="AB87" s="449"/>
      <c r="AC87" s="449"/>
      <c r="AD87" s="449"/>
      <c r="AE87" s="449"/>
      <c r="AF87" s="449"/>
      <c r="AG87" s="449"/>
      <c r="AH87" s="449"/>
      <c r="AI87" s="449"/>
      <c r="AJ87" s="449"/>
      <c r="AK87" s="449"/>
      <c r="AL87" s="449"/>
      <c r="AM87" s="449"/>
      <c r="AN87" s="449"/>
      <c r="AO87" s="202">
        <f t="shared" si="19"/>
        <v>0</v>
      </c>
      <c r="AP87" s="39">
        <f t="shared" si="24"/>
        <v>0</v>
      </c>
      <c r="AQ87" s="39"/>
      <c r="AR87" s="39" t="e">
        <f t="shared" si="25"/>
        <v>#REF!</v>
      </c>
      <c r="AS87" s="42"/>
    </row>
    <row r="88" spans="1:45" s="109" customFormat="1" ht="14.25" customHeight="1">
      <c r="A88" s="348"/>
      <c r="B88" s="335" t="s">
        <v>163</v>
      </c>
      <c r="C88" s="336"/>
      <c r="D88" s="337"/>
      <c r="E88" s="423"/>
      <c r="F88" s="424"/>
      <c r="G88" s="424"/>
      <c r="H88" s="424"/>
      <c r="I88" s="424"/>
      <c r="J88" s="424"/>
      <c r="K88" s="424"/>
      <c r="L88" s="424"/>
      <c r="M88" s="424"/>
      <c r="N88" s="424"/>
      <c r="O88" s="424"/>
      <c r="P88" s="425"/>
      <c r="Q88" s="342"/>
      <c r="R88" s="342"/>
      <c r="S88" s="342"/>
      <c r="T88" s="342"/>
      <c r="U88" s="342"/>
      <c r="V88" s="342"/>
      <c r="W88" s="342"/>
      <c r="X88" s="342"/>
      <c r="Y88" s="342"/>
      <c r="Z88" s="430"/>
      <c r="AA88" s="449"/>
      <c r="AB88" s="449"/>
      <c r="AC88" s="449"/>
      <c r="AD88" s="449"/>
      <c r="AE88" s="449"/>
      <c r="AF88" s="449"/>
      <c r="AG88" s="449"/>
      <c r="AH88" s="449"/>
      <c r="AI88" s="449"/>
      <c r="AJ88" s="449"/>
      <c r="AK88" s="449"/>
      <c r="AL88" s="449"/>
      <c r="AM88" s="449"/>
      <c r="AN88" s="449"/>
      <c r="AO88" s="202">
        <f t="shared" si="19"/>
        <v>0</v>
      </c>
      <c r="AP88" s="39">
        <f t="shared" si="24"/>
        <v>0</v>
      </c>
      <c r="AQ88" s="39"/>
      <c r="AR88" s="39" t="e">
        <f t="shared" si="25"/>
        <v>#REF!</v>
      </c>
      <c r="AS88" s="42"/>
    </row>
    <row r="89" spans="1:45" s="109" customFormat="1" ht="13.65" customHeight="1">
      <c r="A89" s="348"/>
      <c r="B89" s="58" t="s">
        <v>9</v>
      </c>
      <c r="C89" s="236"/>
      <c r="D89" s="239"/>
      <c r="E89" s="423"/>
      <c r="F89" s="424"/>
      <c r="G89" s="424"/>
      <c r="H89" s="424"/>
      <c r="I89" s="424"/>
      <c r="J89" s="424"/>
      <c r="K89" s="424"/>
      <c r="L89" s="424"/>
      <c r="M89" s="424"/>
      <c r="N89" s="424"/>
      <c r="O89" s="424"/>
      <c r="P89" s="425"/>
      <c r="Q89" s="38"/>
      <c r="R89" s="37"/>
      <c r="S89" s="37"/>
      <c r="T89" s="37"/>
      <c r="U89" s="37"/>
      <c r="V89" s="37"/>
      <c r="W89" s="37"/>
      <c r="X89" s="37"/>
      <c r="Y89" s="44"/>
      <c r="Z89" s="205"/>
      <c r="AA89" s="449"/>
      <c r="AB89" s="449"/>
      <c r="AC89" s="449"/>
      <c r="AD89" s="449"/>
      <c r="AE89" s="449"/>
      <c r="AF89" s="449"/>
      <c r="AG89" s="449"/>
      <c r="AH89" s="449"/>
      <c r="AI89" s="449"/>
      <c r="AJ89" s="449"/>
      <c r="AK89" s="449"/>
      <c r="AL89" s="449"/>
      <c r="AM89" s="449"/>
      <c r="AN89" s="449"/>
      <c r="AO89" s="202">
        <f t="shared" si="19"/>
        <v>0</v>
      </c>
      <c r="AP89" s="39">
        <f t="shared" si="24"/>
        <v>0</v>
      </c>
      <c r="AQ89" s="39"/>
      <c r="AR89" s="39" t="e">
        <f t="shared" si="25"/>
        <v>#REF!</v>
      </c>
      <c r="AS89" s="42"/>
    </row>
    <row r="90" spans="1:45" s="109" customFormat="1" ht="14.25" customHeight="1">
      <c r="A90" s="348"/>
      <c r="B90" s="335" t="s">
        <v>165</v>
      </c>
      <c r="C90" s="336"/>
      <c r="D90" s="337"/>
      <c r="E90" s="423"/>
      <c r="F90" s="424"/>
      <c r="G90" s="424"/>
      <c r="H90" s="424"/>
      <c r="I90" s="424"/>
      <c r="J90" s="424"/>
      <c r="K90" s="424"/>
      <c r="L90" s="424"/>
      <c r="M90" s="424"/>
      <c r="N90" s="424"/>
      <c r="O90" s="424"/>
      <c r="P90" s="425"/>
      <c r="Q90" s="342"/>
      <c r="R90" s="342"/>
      <c r="S90" s="342"/>
      <c r="T90" s="342"/>
      <c r="U90" s="342"/>
      <c r="V90" s="342"/>
      <c r="W90" s="342"/>
      <c r="X90" s="342"/>
      <c r="Y90" s="342"/>
      <c r="Z90" s="444"/>
      <c r="AA90" s="449"/>
      <c r="AB90" s="449"/>
      <c r="AC90" s="449"/>
      <c r="AD90" s="449"/>
      <c r="AE90" s="449"/>
      <c r="AF90" s="449"/>
      <c r="AG90" s="449"/>
      <c r="AH90" s="449"/>
      <c r="AI90" s="449"/>
      <c r="AJ90" s="449"/>
      <c r="AK90" s="449"/>
      <c r="AL90" s="449"/>
      <c r="AM90" s="449"/>
      <c r="AN90" s="449"/>
      <c r="AO90" s="202">
        <f t="shared" si="19"/>
        <v>0</v>
      </c>
      <c r="AP90" s="39">
        <f t="shared" si="24"/>
        <v>0</v>
      </c>
      <c r="AQ90" s="39"/>
      <c r="AR90" s="39" t="e">
        <f t="shared" si="25"/>
        <v>#REF!</v>
      </c>
      <c r="AS90" s="42"/>
    </row>
    <row r="91" spans="1:45" s="109" customFormat="1" ht="14.25" customHeight="1">
      <c r="A91" s="348"/>
      <c r="B91" s="58" t="s">
        <v>9</v>
      </c>
      <c r="C91" s="236"/>
      <c r="D91" s="239"/>
      <c r="E91" s="423"/>
      <c r="F91" s="424"/>
      <c r="G91" s="424"/>
      <c r="H91" s="424"/>
      <c r="I91" s="424"/>
      <c r="J91" s="424"/>
      <c r="K91" s="424"/>
      <c r="L91" s="424"/>
      <c r="M91" s="424"/>
      <c r="N91" s="424"/>
      <c r="O91" s="424"/>
      <c r="P91" s="425"/>
      <c r="Q91" s="62"/>
      <c r="R91" s="171"/>
      <c r="S91" s="171"/>
      <c r="T91" s="171"/>
      <c r="U91" s="171"/>
      <c r="V91" s="171"/>
      <c r="W91" s="171"/>
      <c r="X91" s="171"/>
      <c r="Y91" s="171"/>
      <c r="Z91" s="61"/>
      <c r="AA91" s="449"/>
      <c r="AB91" s="449"/>
      <c r="AC91" s="449"/>
      <c r="AD91" s="449"/>
      <c r="AE91" s="449"/>
      <c r="AF91" s="449"/>
      <c r="AG91" s="449"/>
      <c r="AH91" s="449"/>
      <c r="AI91" s="449"/>
      <c r="AJ91" s="449"/>
      <c r="AK91" s="449"/>
      <c r="AL91" s="449"/>
      <c r="AM91" s="449"/>
      <c r="AN91" s="449"/>
      <c r="AO91" s="202">
        <f t="shared" si="19"/>
        <v>0</v>
      </c>
      <c r="AP91" s="39">
        <f t="shared" si="24"/>
        <v>0</v>
      </c>
      <c r="AQ91" s="39"/>
      <c r="AR91" s="39" t="e">
        <f t="shared" si="25"/>
        <v>#REF!</v>
      </c>
      <c r="AS91" s="42"/>
    </row>
    <row r="92" spans="1:45" s="109" customFormat="1" ht="14.25" customHeight="1">
      <c r="A92" s="348"/>
      <c r="B92" s="335" t="s">
        <v>166</v>
      </c>
      <c r="C92" s="336"/>
      <c r="D92" s="337"/>
      <c r="E92" s="423"/>
      <c r="F92" s="424"/>
      <c r="G92" s="424"/>
      <c r="H92" s="424"/>
      <c r="I92" s="424"/>
      <c r="J92" s="424"/>
      <c r="K92" s="424"/>
      <c r="L92" s="424"/>
      <c r="M92" s="424"/>
      <c r="N92" s="424"/>
      <c r="O92" s="424"/>
      <c r="P92" s="425"/>
      <c r="Q92" s="342"/>
      <c r="R92" s="342"/>
      <c r="S92" s="342"/>
      <c r="T92" s="342"/>
      <c r="U92" s="342"/>
      <c r="V92" s="342"/>
      <c r="W92" s="342"/>
      <c r="X92" s="342"/>
      <c r="Y92" s="342"/>
      <c r="Z92" s="343"/>
      <c r="AA92" s="449"/>
      <c r="AB92" s="449"/>
      <c r="AC92" s="449"/>
      <c r="AD92" s="449"/>
      <c r="AE92" s="449"/>
      <c r="AF92" s="449"/>
      <c r="AG92" s="449"/>
      <c r="AH92" s="449"/>
      <c r="AI92" s="449"/>
      <c r="AJ92" s="449"/>
      <c r="AK92" s="449"/>
      <c r="AL92" s="449"/>
      <c r="AM92" s="449"/>
      <c r="AN92" s="449"/>
      <c r="AO92" s="202">
        <f t="shared" si="19"/>
        <v>0</v>
      </c>
      <c r="AP92" s="39">
        <f t="shared" si="24"/>
        <v>0</v>
      </c>
      <c r="AQ92" s="39"/>
      <c r="AR92" s="39" t="e">
        <f t="shared" si="25"/>
        <v>#REF!</v>
      </c>
      <c r="AS92" s="42"/>
    </row>
    <row r="93" spans="1:45" s="109" customFormat="1" ht="14.25" customHeight="1">
      <c r="A93" s="348"/>
      <c r="B93" s="58" t="s">
        <v>9</v>
      </c>
      <c r="C93" s="236"/>
      <c r="D93" s="51"/>
      <c r="E93" s="423"/>
      <c r="F93" s="424"/>
      <c r="G93" s="424"/>
      <c r="H93" s="424"/>
      <c r="I93" s="424"/>
      <c r="J93" s="424"/>
      <c r="K93" s="424"/>
      <c r="L93" s="424"/>
      <c r="M93" s="424"/>
      <c r="N93" s="424"/>
      <c r="O93" s="424"/>
      <c r="P93" s="425"/>
      <c r="Q93" s="62"/>
      <c r="R93" s="171"/>
      <c r="S93" s="171"/>
      <c r="T93" s="171"/>
      <c r="U93" s="171"/>
      <c r="V93" s="171"/>
      <c r="W93" s="171"/>
      <c r="X93" s="171"/>
      <c r="Y93" s="171"/>
      <c r="Z93" s="61"/>
      <c r="AA93" s="449"/>
      <c r="AB93" s="449"/>
      <c r="AC93" s="449"/>
      <c r="AD93" s="449"/>
      <c r="AE93" s="449"/>
      <c r="AF93" s="449"/>
      <c r="AG93" s="449"/>
      <c r="AH93" s="449"/>
      <c r="AI93" s="449"/>
      <c r="AJ93" s="449"/>
      <c r="AK93" s="449"/>
      <c r="AL93" s="449"/>
      <c r="AM93" s="449"/>
      <c r="AN93" s="449"/>
      <c r="AO93" s="202">
        <f t="shared" si="19"/>
        <v>0</v>
      </c>
      <c r="AP93" s="39">
        <f t="shared" si="24"/>
        <v>0</v>
      </c>
      <c r="AQ93" s="39"/>
      <c r="AR93" s="39" t="e">
        <f t="shared" si="25"/>
        <v>#REF!</v>
      </c>
      <c r="AS93" s="42"/>
    </row>
    <row r="94" spans="1:45" s="109" customFormat="1" ht="14.25" customHeight="1">
      <c r="A94" s="350"/>
      <c r="B94" s="338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433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172">
        <f>SUM(AO41:AO91)</f>
        <v>170.47324601525199</v>
      </c>
      <c r="AP94" s="46">
        <f>SUM(AP41:AP93)</f>
        <v>1</v>
      </c>
      <c r="AQ94" s="46"/>
      <c r="AR94" s="46"/>
      <c r="AS94" s="47"/>
    </row>
    <row r="95" spans="1:45" customFormat="1" ht="14.25" customHeight="1">
      <c r="A95" s="63"/>
      <c r="B95" s="43"/>
      <c r="C95" s="60"/>
      <c r="D95" s="49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64" t="e">
        <f>AA29+AA40</f>
        <v>#REF!</v>
      </c>
      <c r="AB95" s="64" t="e">
        <f>AB29+AB40</f>
        <v>#REF!</v>
      </c>
      <c r="AC95" s="64"/>
      <c r="AD95" s="64" t="e">
        <f>AD29+AD40</f>
        <v>#REF!</v>
      </c>
      <c r="AE95" s="64" t="e">
        <f>AE29+AE40</f>
        <v>#REF!</v>
      </c>
      <c r="AF95" s="64" t="e">
        <f>AF29+AF40</f>
        <v>#REF!</v>
      </c>
      <c r="AG95" s="64" t="e">
        <f>AG29+AG40</f>
        <v>#REF!</v>
      </c>
      <c r="AH95" s="64"/>
      <c r="AI95" s="64" t="e">
        <f t="shared" ref="AI95:AO95" si="26">AI29+AI40</f>
        <v>#REF!</v>
      </c>
      <c r="AJ95" s="64" t="e">
        <f t="shared" si="26"/>
        <v>#REF!</v>
      </c>
      <c r="AK95" s="64" t="e">
        <f t="shared" si="26"/>
        <v>#REF!</v>
      </c>
      <c r="AL95" s="64" t="e">
        <f t="shared" si="26"/>
        <v>#REF!</v>
      </c>
      <c r="AM95" s="64" t="e">
        <f t="shared" si="26"/>
        <v>#REF!</v>
      </c>
      <c r="AN95" s="64">
        <f t="shared" si="26"/>
        <v>0</v>
      </c>
      <c r="AO95" s="64" t="e">
        <f t="shared" si="26"/>
        <v>#REF!</v>
      </c>
      <c r="AP95" s="65"/>
      <c r="AQ95" s="65" t="e">
        <f>SUM(AQ10:AQ28)+SUM(AQ36:AQ39)</f>
        <v>#REF!</v>
      </c>
      <c r="AR95" s="65" t="e">
        <f>SUM(AR10:AR28)+SUM(AR36:AR39)+SUM(AR41:AR93)</f>
        <v>#REF!</v>
      </c>
      <c r="AS95" s="66"/>
    </row>
    <row r="96" spans="1:45" customFormat="1" ht="14.25" customHeight="1">
      <c r="A96" s="63"/>
      <c r="B96" s="43"/>
      <c r="C96" s="60"/>
      <c r="D96" s="49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64" t="e">
        <f>AA29+AA40+AA94</f>
        <v>#REF!</v>
      </c>
      <c r="AB96" s="64" t="e">
        <f>AB29+AB40+AB94</f>
        <v>#REF!</v>
      </c>
      <c r="AC96" s="64"/>
      <c r="AD96" s="64" t="e">
        <f>AD29+AD40+AD94</f>
        <v>#REF!</v>
      </c>
      <c r="AE96" s="64" t="e">
        <f>AE29+AE40+AE94</f>
        <v>#REF!</v>
      </c>
      <c r="AF96" s="64" t="e">
        <f>AF29+AF40+AF94</f>
        <v>#REF!</v>
      </c>
      <c r="AG96" s="64" t="e">
        <f>AG29+AG40+AG94</f>
        <v>#REF!</v>
      </c>
      <c r="AH96" s="64"/>
      <c r="AI96" s="64" t="e">
        <f t="shared" ref="AI96:AO96" si="27">AI29+AI40+AI94</f>
        <v>#REF!</v>
      </c>
      <c r="AJ96" s="64" t="e">
        <f t="shared" si="27"/>
        <v>#REF!</v>
      </c>
      <c r="AK96" s="64" t="e">
        <f t="shared" si="27"/>
        <v>#REF!</v>
      </c>
      <c r="AL96" s="64" t="e">
        <f t="shared" si="27"/>
        <v>#REF!</v>
      </c>
      <c r="AM96" s="64" t="e">
        <f t="shared" si="27"/>
        <v>#REF!</v>
      </c>
      <c r="AN96" s="64">
        <f t="shared" si="27"/>
        <v>0</v>
      </c>
      <c r="AO96" s="64" t="e">
        <f t="shared" si="27"/>
        <v>#REF!</v>
      </c>
      <c r="AP96" s="65"/>
      <c r="AQ96" s="65"/>
      <c r="AR96" s="65"/>
      <c r="AS96" s="66"/>
    </row>
    <row r="97" spans="1:45" customFormat="1" ht="14.25" customHeight="1">
      <c r="A97" s="67" t="s">
        <v>16</v>
      </c>
      <c r="B97" s="340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68"/>
      <c r="S97" s="68"/>
      <c r="T97" s="68"/>
      <c r="U97" s="68"/>
      <c r="V97" s="68"/>
      <c r="W97" s="68"/>
      <c r="X97" s="68"/>
      <c r="Y97" s="68"/>
      <c r="Z97" s="68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70"/>
      <c r="AQ97" s="70"/>
      <c r="AR97" s="70"/>
      <c r="AS97" s="71"/>
    </row>
  </sheetData>
  <mergeCells count="93">
    <mergeCell ref="A5:AS5"/>
    <mergeCell ref="A6:A9"/>
    <mergeCell ref="B6:B9"/>
    <mergeCell ref="C6:D8"/>
    <mergeCell ref="E6:N7"/>
    <mergeCell ref="O6:P7"/>
    <mergeCell ref="Q6:Q9"/>
    <mergeCell ref="AQ6:AQ9"/>
    <mergeCell ref="AR6:AR9"/>
    <mergeCell ref="AS6:AS9"/>
    <mergeCell ref="E8:L8"/>
    <mergeCell ref="M8:N8"/>
    <mergeCell ref="O8:O9"/>
    <mergeCell ref="P8:P9"/>
    <mergeCell ref="R8:R9"/>
    <mergeCell ref="A1:A4"/>
    <mergeCell ref="B1:AN2"/>
    <mergeCell ref="AO1:AS2"/>
    <mergeCell ref="C3:F3"/>
    <mergeCell ref="I3:AA3"/>
    <mergeCell ref="AB3:AD3"/>
    <mergeCell ref="AE3:AN3"/>
    <mergeCell ref="AO3:AQ3"/>
    <mergeCell ref="AR3:AS3"/>
    <mergeCell ref="C4:F4"/>
    <mergeCell ref="I4:AA4"/>
    <mergeCell ref="AO4:AQ4"/>
    <mergeCell ref="AR4:AS4"/>
    <mergeCell ref="AU6:AV6"/>
    <mergeCell ref="R7:S7"/>
    <mergeCell ref="T7:W7"/>
    <mergeCell ref="X7:X9"/>
    <mergeCell ref="T8:T9"/>
    <mergeCell ref="U8:U9"/>
    <mergeCell ref="R6:X6"/>
    <mergeCell ref="Y6:Y9"/>
    <mergeCell ref="Z6:Z9"/>
    <mergeCell ref="AA6:AF8"/>
    <mergeCell ref="AG6:AN8"/>
    <mergeCell ref="AO6:AO7"/>
    <mergeCell ref="V8:V9"/>
    <mergeCell ref="W8:W9"/>
    <mergeCell ref="S8:S9"/>
    <mergeCell ref="AP6:AP9"/>
    <mergeCell ref="A10:A29"/>
    <mergeCell ref="Q10:Z10"/>
    <mergeCell ref="Q12:Z12"/>
    <mergeCell ref="Q19:Z19"/>
    <mergeCell ref="Q21:Z21"/>
    <mergeCell ref="Q22:Z22"/>
    <mergeCell ref="Q27:Z27"/>
    <mergeCell ref="E29:Q29"/>
    <mergeCell ref="A30:A35"/>
    <mergeCell ref="B35:Q35"/>
    <mergeCell ref="A36:A40"/>
    <mergeCell ref="E36:P39"/>
    <mergeCell ref="AA36:AN39"/>
    <mergeCell ref="B40:Q40"/>
    <mergeCell ref="AA41:AN93"/>
    <mergeCell ref="B43:D43"/>
    <mergeCell ref="Q43:Z43"/>
    <mergeCell ref="B45:D45"/>
    <mergeCell ref="Q45:Z45"/>
    <mergeCell ref="B49:D49"/>
    <mergeCell ref="B70:D70"/>
    <mergeCell ref="Q70:Z70"/>
    <mergeCell ref="A41:A94"/>
    <mergeCell ref="B41:D41"/>
    <mergeCell ref="E41:P93"/>
    <mergeCell ref="Q41:Z41"/>
    <mergeCell ref="Q49:Z49"/>
    <mergeCell ref="B51:D51"/>
    <mergeCell ref="Q51:Z51"/>
    <mergeCell ref="B55:D55"/>
    <mergeCell ref="Q55:Z55"/>
    <mergeCell ref="B77:D77"/>
    <mergeCell ref="Q77:Z77"/>
    <mergeCell ref="B80:D80"/>
    <mergeCell ref="Q80:Z80"/>
    <mergeCell ref="B82:D82"/>
    <mergeCell ref="Q82:Z82"/>
    <mergeCell ref="B97:Q97"/>
    <mergeCell ref="B84:D84"/>
    <mergeCell ref="Q84:Z84"/>
    <mergeCell ref="B86:D86"/>
    <mergeCell ref="Q86:Z86"/>
    <mergeCell ref="B88:D88"/>
    <mergeCell ref="Q88:Z88"/>
    <mergeCell ref="B90:D90"/>
    <mergeCell ref="Q90:Z90"/>
    <mergeCell ref="B92:D92"/>
    <mergeCell ref="Q92:Z92"/>
    <mergeCell ref="B94:Z94"/>
  </mergeCells>
  <pageMargins left="0.7" right="0.7" top="0.75" bottom="0.75" header="0.3" footer="0.3"/>
  <pageSetup paperSize="9" orientation="portrait" r:id="rId1"/>
  <ignoredErrors>
    <ignoredError sqref="AO4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910B-79FA-4A0F-8B76-6A59BD33FEC2}">
  <sheetPr>
    <tabColor theme="5" tint="0.39997558519241921"/>
  </sheetPr>
  <dimension ref="A1:AM897"/>
  <sheetViews>
    <sheetView showGridLines="0" tabSelected="1" zoomScale="70" zoomScaleNormal="70" workbookViewId="0">
      <pane xSplit="6" ySplit="5" topLeftCell="S6" activePane="bottomRight" state="frozen"/>
      <selection activeCell="G4" sqref="G4"/>
      <selection pane="topRight" activeCell="G4" sqref="G4"/>
      <selection pane="bottomLeft" activeCell="G4" sqref="G4"/>
      <selection pane="bottomRight" activeCell="G4" sqref="G4:R4"/>
    </sheetView>
  </sheetViews>
  <sheetFormatPr defaultColWidth="14.44140625" defaultRowHeight="14.4"/>
  <cols>
    <col min="1" max="1" width="80.88671875" style="206" customWidth="1"/>
    <col min="2" max="2" width="31.88671875" style="199" hidden="1" customWidth="1"/>
    <col min="3" max="3" width="23" style="206" hidden="1" customWidth="1"/>
    <col min="4" max="4" width="54.44140625" style="199" hidden="1" customWidth="1"/>
    <col min="5" max="5" width="9.88671875" style="199" customWidth="1"/>
    <col min="6" max="6" width="14.88671875" style="206" customWidth="1"/>
    <col min="7" max="18" width="16.109375" style="206" customWidth="1"/>
    <col min="19" max="19" width="20.44140625" style="206" customWidth="1"/>
    <col min="20" max="27" width="8.88671875" style="206" customWidth="1"/>
    <col min="28" max="16384" width="14.44140625" style="206"/>
  </cols>
  <sheetData>
    <row r="1" spans="1:18">
      <c r="A1" s="432" t="s">
        <v>248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</row>
    <row r="2" spans="1:18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</row>
    <row r="3" spans="1:18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</row>
    <row r="4" spans="1:18" s="208" customFormat="1" ht="15" customHeight="1">
      <c r="A4" s="456" t="s">
        <v>167</v>
      </c>
      <c r="B4" s="456" t="s">
        <v>168</v>
      </c>
      <c r="C4" s="459" t="s">
        <v>169</v>
      </c>
      <c r="D4" s="456" t="s">
        <v>170</v>
      </c>
      <c r="E4" s="456" t="s">
        <v>18</v>
      </c>
      <c r="F4" s="456" t="s">
        <v>171</v>
      </c>
      <c r="G4" s="456" t="s">
        <v>7</v>
      </c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</row>
    <row r="5" spans="1:18" s="208" customFormat="1" ht="15" customHeight="1">
      <c r="A5" s="457"/>
      <c r="B5" s="458"/>
      <c r="C5" s="457"/>
      <c r="D5" s="458"/>
      <c r="E5" s="458"/>
      <c r="F5" s="457"/>
      <c r="G5" s="207">
        <v>1</v>
      </c>
      <c r="H5" s="207">
        <v>2</v>
      </c>
      <c r="I5" s="207">
        <v>3</v>
      </c>
      <c r="J5" s="207">
        <v>4</v>
      </c>
      <c r="K5" s="207">
        <v>5</v>
      </c>
      <c r="L5" s="207">
        <v>6</v>
      </c>
      <c r="M5" s="207">
        <v>7</v>
      </c>
      <c r="N5" s="207">
        <v>8</v>
      </c>
      <c r="O5" s="207">
        <v>9</v>
      </c>
      <c r="P5" s="207">
        <v>10</v>
      </c>
      <c r="Q5" s="207">
        <v>11</v>
      </c>
      <c r="R5" s="207">
        <v>12</v>
      </c>
    </row>
    <row r="6" spans="1:18" s="72" customFormat="1" ht="15" customHeight="1">
      <c r="A6" s="279" t="s">
        <v>172</v>
      </c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1"/>
    </row>
    <row r="7" spans="1:18" s="72" customFormat="1" ht="15" customHeight="1">
      <c r="A7" s="209" t="s">
        <v>8</v>
      </c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1"/>
    </row>
    <row r="8" spans="1:18" s="72" customFormat="1" ht="15" customHeight="1">
      <c r="A8" s="212" t="s">
        <v>9</v>
      </c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4"/>
    </row>
    <row r="9" spans="1:18" s="72" customFormat="1" ht="15" customHeight="1">
      <c r="A9" s="209" t="s">
        <v>10</v>
      </c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1"/>
    </row>
    <row r="10" spans="1:18" s="72" customFormat="1" ht="15" customHeight="1">
      <c r="A10" s="77" t="s">
        <v>216</v>
      </c>
      <c r="B10" s="94" t="s">
        <v>217</v>
      </c>
      <c r="C10" s="77" t="s">
        <v>218</v>
      </c>
      <c r="D10" s="94" t="s">
        <v>219</v>
      </c>
      <c r="E10" s="94" t="s">
        <v>173</v>
      </c>
      <c r="F10" s="296">
        <f>SUM(G10:R10)</f>
        <v>627.62999999999988</v>
      </c>
      <c r="G10" s="194">
        <f>31.22+38.5</f>
        <v>69.72</v>
      </c>
      <c r="H10" s="194">
        <v>37.89</v>
      </c>
      <c r="I10" s="194">
        <v>78.5</v>
      </c>
      <c r="J10" s="194">
        <v>40.01</v>
      </c>
      <c r="K10" s="194">
        <v>37.82</v>
      </c>
      <c r="L10" s="194">
        <v>70.64</v>
      </c>
      <c r="M10" s="194">
        <f>0+40.64</f>
        <v>40.64</v>
      </c>
      <c r="N10" s="194">
        <f>31.99+0</f>
        <v>31.99</v>
      </c>
      <c r="O10" s="194">
        <f>0+39.7</f>
        <v>39.700000000000003</v>
      </c>
      <c r="P10" s="194">
        <v>38.75</v>
      </c>
      <c r="Q10" s="89">
        <v>72.92</v>
      </c>
      <c r="R10" s="89">
        <v>69.05</v>
      </c>
    </row>
    <row r="11" spans="1:18" s="72" customFormat="1" ht="15" customHeight="1">
      <c r="A11" s="77" t="s">
        <v>250</v>
      </c>
      <c r="B11" s="94" t="s">
        <v>217</v>
      </c>
      <c r="C11" s="77" t="s">
        <v>218</v>
      </c>
      <c r="D11" s="94" t="s">
        <v>219</v>
      </c>
      <c r="E11" s="94" t="s">
        <v>173</v>
      </c>
      <c r="F11" s="296">
        <f>SUM(G11:R11)</f>
        <v>8786.380000000001</v>
      </c>
      <c r="G11" s="194">
        <f>380.73+457.57</f>
        <v>838.3</v>
      </c>
      <c r="H11" s="194">
        <f>364.76+459.5</f>
        <v>824.26</v>
      </c>
      <c r="I11" s="194">
        <v>847.95</v>
      </c>
      <c r="J11" s="194">
        <v>661.53</v>
      </c>
      <c r="K11" s="194">
        <v>761.63</v>
      </c>
      <c r="L11" s="194">
        <v>772.1</v>
      </c>
      <c r="M11" s="194">
        <f>190.89+395.63</f>
        <v>586.52</v>
      </c>
      <c r="N11" s="194">
        <f>273.17+368</f>
        <v>641.17000000000007</v>
      </c>
      <c r="O11" s="194">
        <f>224.29+472.64</f>
        <v>696.93</v>
      </c>
      <c r="P11" s="194">
        <f>270.53+509.73</f>
        <v>780.26</v>
      </c>
      <c r="Q11" s="89">
        <v>633.08000000000004</v>
      </c>
      <c r="R11" s="89">
        <v>742.65</v>
      </c>
    </row>
    <row r="12" spans="1:18" s="72" customFormat="1" ht="15" customHeight="1">
      <c r="A12" s="77" t="s">
        <v>251</v>
      </c>
      <c r="B12" s="94" t="s">
        <v>217</v>
      </c>
      <c r="C12" s="77" t="s">
        <v>218</v>
      </c>
      <c r="D12" s="94" t="s">
        <v>219</v>
      </c>
      <c r="E12" s="94" t="s">
        <v>173</v>
      </c>
      <c r="F12" s="296">
        <f>SUM(G12:R12)</f>
        <v>2991.3100000000004</v>
      </c>
      <c r="G12" s="194">
        <v>401.94</v>
      </c>
      <c r="H12" s="194">
        <v>184</v>
      </c>
      <c r="I12" s="194">
        <v>214.53</v>
      </c>
      <c r="J12" s="194">
        <v>228.73</v>
      </c>
      <c r="K12" s="194">
        <v>340.37</v>
      </c>
      <c r="L12" s="194">
        <v>177.94</v>
      </c>
      <c r="M12" s="194">
        <v>291.66000000000003</v>
      </c>
      <c r="N12" s="194">
        <v>183.14</v>
      </c>
      <c r="O12" s="194">
        <v>364.67</v>
      </c>
      <c r="P12" s="194">
        <v>102.56</v>
      </c>
      <c r="Q12" s="89">
        <v>233.31</v>
      </c>
      <c r="R12" s="89">
        <v>268.45999999999998</v>
      </c>
    </row>
    <row r="13" spans="1:18" s="72" customFormat="1" ht="15" customHeight="1">
      <c r="A13" s="77" t="s">
        <v>249</v>
      </c>
      <c r="B13" s="94" t="s">
        <v>217</v>
      </c>
      <c r="C13" s="77" t="s">
        <v>218</v>
      </c>
      <c r="D13" s="94" t="s">
        <v>219</v>
      </c>
      <c r="E13" s="94" t="s">
        <v>173</v>
      </c>
      <c r="F13" s="296">
        <f>SUM(G13:R13)</f>
        <v>2881.42</v>
      </c>
      <c r="G13" s="276">
        <f>0+0+0+60.33</f>
        <v>60.33</v>
      </c>
      <c r="H13" s="276">
        <f>29.06+59.73+92.45+135.1</f>
        <v>316.34000000000003</v>
      </c>
      <c r="I13" s="276">
        <f>27+121.26+0+64.54</f>
        <v>212.8</v>
      </c>
      <c r="J13" s="276">
        <f>0+0+44.01+60.53</f>
        <v>104.53999999999999</v>
      </c>
      <c r="K13" s="276">
        <f>33.06+121.08+42.2+135.64</f>
        <v>331.97999999999996</v>
      </c>
      <c r="L13" s="276">
        <f>34.12+59.5+88.16+139.05</f>
        <v>320.83000000000004</v>
      </c>
      <c r="M13" s="194">
        <f>25.8+57.58+46.26+70.38</f>
        <v>200.01999999999998</v>
      </c>
      <c r="N13" s="194">
        <f>0+120.07+44.7+71.66</f>
        <v>236.42999999999998</v>
      </c>
      <c r="O13" s="194">
        <f>61.2+59.29+47.2+72.72</f>
        <v>240.41</v>
      </c>
      <c r="P13" s="194">
        <f>140.19+0+121.44+90.83</f>
        <v>352.46</v>
      </c>
      <c r="Q13" s="89">
        <v>275.39</v>
      </c>
      <c r="R13" s="89">
        <v>229.89</v>
      </c>
    </row>
    <row r="14" spans="1:18" s="72" customFormat="1" ht="15" customHeight="1">
      <c r="A14" s="77" t="s">
        <v>253</v>
      </c>
      <c r="B14" s="94" t="s">
        <v>217</v>
      </c>
      <c r="C14" s="77" t="s">
        <v>218</v>
      </c>
      <c r="D14" s="94" t="s">
        <v>219</v>
      </c>
      <c r="E14" s="94" t="s">
        <v>173</v>
      </c>
      <c r="F14" s="296">
        <f>SUM(G14:R14)</f>
        <v>4724.4500000000007</v>
      </c>
      <c r="G14" s="194">
        <v>323.57</v>
      </c>
      <c r="H14" s="276">
        <v>505.87</v>
      </c>
      <c r="I14" s="194">
        <v>374.99</v>
      </c>
      <c r="J14" s="194">
        <v>326.08</v>
      </c>
      <c r="K14" s="194">
        <v>447.68</v>
      </c>
      <c r="L14" s="194">
        <v>349.07</v>
      </c>
      <c r="M14" s="194">
        <v>343.31</v>
      </c>
      <c r="N14" s="194">
        <v>345.22</v>
      </c>
      <c r="O14" s="194">
        <v>341.69</v>
      </c>
      <c r="P14" s="194">
        <f>0+231.85+322.06+53.24</f>
        <v>607.15</v>
      </c>
      <c r="Q14" s="89">
        <v>533.35</v>
      </c>
      <c r="R14" s="89">
        <v>226.47</v>
      </c>
    </row>
    <row r="15" spans="1:18" s="72" customFormat="1" ht="15" customHeight="1">
      <c r="A15" s="77" t="s">
        <v>252</v>
      </c>
      <c r="B15" s="94" t="s">
        <v>217</v>
      </c>
      <c r="C15" s="77" t="s">
        <v>218</v>
      </c>
      <c r="D15" s="94" t="s">
        <v>219</v>
      </c>
      <c r="E15" s="94" t="s">
        <v>173</v>
      </c>
      <c r="F15" s="297">
        <f t="shared" ref="F15" si="0">SUM(G15:R15)</f>
        <v>7559.43</v>
      </c>
      <c r="G15" s="291">
        <f>319.8+190.97</f>
        <v>510.77</v>
      </c>
      <c r="H15" s="293">
        <v>745.97</v>
      </c>
      <c r="I15" s="291">
        <f>428.1+233.67</f>
        <v>661.77</v>
      </c>
      <c r="J15" s="291">
        <f>495.68+314.29</f>
        <v>809.97</v>
      </c>
      <c r="K15" s="291">
        <f>381.74+304.79</f>
        <v>686.53</v>
      </c>
      <c r="L15" s="291">
        <v>662.54</v>
      </c>
      <c r="M15" s="291">
        <f>334.35+186.32</f>
        <v>520.67000000000007</v>
      </c>
      <c r="N15" s="291">
        <f>221.77+221.82</f>
        <v>443.59000000000003</v>
      </c>
      <c r="O15" s="291">
        <f>271.96+285.05</f>
        <v>557.01</v>
      </c>
      <c r="P15" s="291">
        <f>318.7+299.97</f>
        <v>618.67000000000007</v>
      </c>
      <c r="Q15" s="292">
        <v>556.86</v>
      </c>
      <c r="R15" s="89">
        <v>785.08</v>
      </c>
    </row>
    <row r="16" spans="1:18" s="72" customFormat="1" ht="15" customHeight="1">
      <c r="A16" s="215" t="s">
        <v>11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7"/>
    </row>
    <row r="17" spans="1:39" s="72" customFormat="1" ht="15" customHeight="1">
      <c r="A17" s="84" t="s">
        <v>9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80"/>
    </row>
    <row r="18" spans="1:39" s="72" customFormat="1" ht="15" customHeight="1">
      <c r="A18" s="218" t="s">
        <v>203</v>
      </c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20"/>
    </row>
    <row r="19" spans="1:39" s="72" customFormat="1" ht="15" customHeight="1">
      <c r="A19" s="90" t="s">
        <v>175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2"/>
    </row>
    <row r="20" spans="1:39" customFormat="1" ht="15" customHeight="1">
      <c r="A20" s="78" t="s">
        <v>12</v>
      </c>
      <c r="B20" s="75" t="s">
        <v>176</v>
      </c>
      <c r="C20" s="78" t="s">
        <v>206</v>
      </c>
      <c r="D20" s="75" t="s">
        <v>178</v>
      </c>
      <c r="E20" s="75" t="s">
        <v>179</v>
      </c>
      <c r="F20" s="295">
        <v>2.7610000000000001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3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</row>
    <row r="21" spans="1:39" customFormat="1" ht="15" customHeight="1">
      <c r="A21" s="78" t="s">
        <v>13</v>
      </c>
      <c r="B21" s="75" t="s">
        <v>176</v>
      </c>
      <c r="C21" s="78" t="s">
        <v>206</v>
      </c>
      <c r="D21" s="75" t="s">
        <v>178</v>
      </c>
      <c r="E21" s="75" t="s">
        <v>179</v>
      </c>
      <c r="F21" s="295">
        <v>0.28000000000000003</v>
      </c>
      <c r="G21" s="82"/>
      <c r="H21" s="82"/>
      <c r="I21" s="82"/>
      <c r="J21" s="82"/>
      <c r="K21" s="82"/>
      <c r="L21" s="206"/>
      <c r="M21" s="82"/>
      <c r="N21" s="82"/>
      <c r="O21" s="82"/>
      <c r="P21" s="82"/>
      <c r="Q21" s="82"/>
      <c r="R21" s="83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</row>
    <row r="22" spans="1:39" customFormat="1" ht="15" customHeight="1">
      <c r="A22" s="98" t="s">
        <v>212</v>
      </c>
      <c r="B22" s="75" t="s">
        <v>180</v>
      </c>
      <c r="C22" s="77" t="s">
        <v>218</v>
      </c>
      <c r="D22" s="94" t="s">
        <v>219</v>
      </c>
      <c r="E22" s="75" t="s">
        <v>179</v>
      </c>
      <c r="F22" s="233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</row>
    <row r="23" spans="1:39" customFormat="1" ht="15" customHeight="1">
      <c r="A23" s="78" t="s">
        <v>213</v>
      </c>
      <c r="B23" s="75" t="s">
        <v>180</v>
      </c>
      <c r="C23" s="77" t="s">
        <v>218</v>
      </c>
      <c r="D23" s="94" t="s">
        <v>219</v>
      </c>
      <c r="E23" s="75" t="s">
        <v>179</v>
      </c>
      <c r="F23" s="294">
        <v>0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</row>
    <row r="24" spans="1:39" customFormat="1" ht="15" customHeight="1">
      <c r="A24" s="78" t="s">
        <v>181</v>
      </c>
      <c r="B24" s="75" t="s">
        <v>176</v>
      </c>
      <c r="C24" s="78" t="s">
        <v>206</v>
      </c>
      <c r="D24" s="75" t="s">
        <v>178</v>
      </c>
      <c r="E24" s="75" t="s">
        <v>179</v>
      </c>
      <c r="F24" s="274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6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 spans="1:39" s="72" customFormat="1" ht="15" customHeight="1">
      <c r="A25" s="77" t="s">
        <v>207</v>
      </c>
      <c r="B25" s="94" t="s">
        <v>208</v>
      </c>
      <c r="C25" s="176" t="s">
        <v>220</v>
      </c>
      <c r="D25" s="94" t="s">
        <v>219</v>
      </c>
      <c r="E25" s="94" t="s">
        <v>147</v>
      </c>
      <c r="F25" s="275" t="e">
        <f>#REF!</f>
        <v>#REF!</v>
      </c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4"/>
    </row>
    <row r="26" spans="1:39" s="72" customFormat="1" ht="15" customHeight="1">
      <c r="A26" s="215" t="s">
        <v>14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7"/>
    </row>
    <row r="27" spans="1:39" s="72" customFormat="1" ht="15" customHeight="1">
      <c r="A27" s="84" t="s">
        <v>9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80"/>
    </row>
    <row r="28" spans="1:39" s="72" customFormat="1" ht="15" customHeight="1">
      <c r="A28" s="460" t="s">
        <v>182</v>
      </c>
      <c r="B28" s="418"/>
      <c r="C28" s="418"/>
      <c r="D28" s="418"/>
      <c r="E28" s="418"/>
      <c r="F28" s="418"/>
      <c r="G28" s="418"/>
      <c r="H28" s="418"/>
      <c r="I28" s="418"/>
      <c r="J28" s="418"/>
      <c r="K28" s="418"/>
      <c r="L28" s="418"/>
      <c r="M28" s="418"/>
      <c r="N28" s="418"/>
      <c r="O28" s="418"/>
      <c r="P28" s="418"/>
      <c r="Q28" s="418"/>
      <c r="R28" s="461"/>
    </row>
    <row r="29" spans="1:39" s="72" customFormat="1" ht="15" customHeight="1">
      <c r="A29" s="78" t="s">
        <v>221</v>
      </c>
      <c r="B29" s="94" t="s">
        <v>183</v>
      </c>
      <c r="C29" s="77" t="s">
        <v>218</v>
      </c>
      <c r="D29" s="94" t="s">
        <v>219</v>
      </c>
      <c r="E29" s="94" t="s">
        <v>184</v>
      </c>
      <c r="F29" s="89">
        <f>SUM(G29:R29)</f>
        <v>166539</v>
      </c>
      <c r="G29" s="277">
        <v>11143</v>
      </c>
      <c r="H29" s="277">
        <v>11278</v>
      </c>
      <c r="I29" s="277">
        <v>13808</v>
      </c>
      <c r="J29" s="277">
        <v>13338</v>
      </c>
      <c r="K29" s="277">
        <v>13808</v>
      </c>
      <c r="L29" s="277">
        <v>13419</v>
      </c>
      <c r="M29" s="277">
        <v>14863</v>
      </c>
      <c r="N29" s="277">
        <v>15947</v>
      </c>
      <c r="O29" s="277">
        <v>14166</v>
      </c>
      <c r="P29" s="89">
        <v>15627</v>
      </c>
      <c r="Q29" s="89">
        <v>14266</v>
      </c>
      <c r="R29" s="89">
        <v>14876</v>
      </c>
    </row>
    <row r="30" spans="1:39" s="72" customFormat="1" ht="15" customHeight="1">
      <c r="A30" s="78" t="s">
        <v>247</v>
      </c>
      <c r="B30" s="94" t="s">
        <v>222</v>
      </c>
      <c r="C30" s="77" t="s">
        <v>218</v>
      </c>
      <c r="D30" s="94" t="s">
        <v>219</v>
      </c>
      <c r="E30" s="94" t="s">
        <v>184</v>
      </c>
      <c r="F30" s="277">
        <f>SUM(G30:R30)</f>
        <v>61610</v>
      </c>
      <c r="G30" s="89">
        <v>6390</v>
      </c>
      <c r="H30" s="89">
        <v>5640</v>
      </c>
      <c r="I30" s="89">
        <v>6940</v>
      </c>
      <c r="J30" s="89">
        <v>6810</v>
      </c>
      <c r="K30" s="89">
        <v>5890</v>
      </c>
      <c r="L30" s="89">
        <v>6030</v>
      </c>
      <c r="M30" s="277">
        <v>5030</v>
      </c>
      <c r="N30" s="277">
        <v>5140</v>
      </c>
      <c r="O30" s="277">
        <v>4110</v>
      </c>
      <c r="P30" s="89">
        <v>3640</v>
      </c>
      <c r="Q30" s="89">
        <v>2650</v>
      </c>
      <c r="R30" s="89">
        <v>3340</v>
      </c>
    </row>
    <row r="31" spans="1:39" s="72" customFormat="1" ht="15" customHeight="1">
      <c r="A31" s="78" t="s">
        <v>223</v>
      </c>
      <c r="B31" s="94" t="s">
        <v>174</v>
      </c>
      <c r="C31" s="94" t="s">
        <v>174</v>
      </c>
      <c r="D31" s="94" t="s">
        <v>174</v>
      </c>
      <c r="E31" s="94" t="s">
        <v>184</v>
      </c>
      <c r="F31" s="89">
        <f>SUM(G31:R31)</f>
        <v>166539</v>
      </c>
      <c r="G31" s="89">
        <f>G29</f>
        <v>11143</v>
      </c>
      <c r="H31" s="89">
        <f t="shared" ref="H31:R31" si="1">H29</f>
        <v>11278</v>
      </c>
      <c r="I31" s="89">
        <f t="shared" si="1"/>
        <v>13808</v>
      </c>
      <c r="J31" s="89">
        <f t="shared" si="1"/>
        <v>13338</v>
      </c>
      <c r="K31" s="89">
        <f t="shared" si="1"/>
        <v>13808</v>
      </c>
      <c r="L31" s="89">
        <f t="shared" si="1"/>
        <v>13419</v>
      </c>
      <c r="M31" s="277">
        <f t="shared" si="1"/>
        <v>14863</v>
      </c>
      <c r="N31" s="277">
        <f t="shared" si="1"/>
        <v>15947</v>
      </c>
      <c r="O31" s="277">
        <f t="shared" si="1"/>
        <v>14166</v>
      </c>
      <c r="P31" s="277">
        <f t="shared" si="1"/>
        <v>15627</v>
      </c>
      <c r="Q31" s="89">
        <f t="shared" si="1"/>
        <v>14266</v>
      </c>
      <c r="R31" s="89">
        <f t="shared" si="1"/>
        <v>14876</v>
      </c>
    </row>
    <row r="32" spans="1:39" s="72" customFormat="1" ht="15" customHeight="1">
      <c r="A32" s="462" t="s">
        <v>185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L32" s="463"/>
      <c r="M32" s="463"/>
      <c r="N32" s="463"/>
      <c r="O32" s="463"/>
      <c r="P32" s="463"/>
      <c r="Q32" s="463"/>
      <c r="R32" s="464"/>
    </row>
    <row r="33" spans="1:37" s="72" customFormat="1" ht="15" customHeight="1">
      <c r="A33" s="441" t="s">
        <v>74</v>
      </c>
      <c r="B33" s="417"/>
      <c r="C33" s="417"/>
      <c r="D33" s="417"/>
      <c r="E33" s="417"/>
      <c r="F33" s="417"/>
      <c r="G33" s="417"/>
      <c r="H33" s="417"/>
      <c r="I33" s="417"/>
      <c r="J33" s="417"/>
      <c r="K33" s="417"/>
      <c r="L33" s="417"/>
      <c r="M33" s="417"/>
      <c r="N33" s="417"/>
      <c r="O33" s="417"/>
      <c r="P33" s="417"/>
      <c r="Q33" s="417"/>
      <c r="R33" s="442"/>
    </row>
    <row r="34" spans="1:37" s="72" customFormat="1" ht="15" customHeight="1">
      <c r="A34" s="84" t="s">
        <v>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80"/>
    </row>
    <row r="35" spans="1:37" s="72" customFormat="1" ht="15" customHeight="1">
      <c r="A35" s="453" t="s">
        <v>150</v>
      </c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54"/>
    </row>
    <row r="36" spans="1:37" s="72" customFormat="1" ht="15" customHeight="1">
      <c r="A36" s="77" t="s">
        <v>186</v>
      </c>
      <c r="B36" s="94" t="s">
        <v>187</v>
      </c>
      <c r="C36" s="77" t="s">
        <v>209</v>
      </c>
      <c r="D36" s="94" t="s">
        <v>188</v>
      </c>
      <c r="E36" s="94" t="s">
        <v>189</v>
      </c>
      <c r="F36" s="89">
        <f>SUM(G36:R36)</f>
        <v>0</v>
      </c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</row>
    <row r="37" spans="1:37" s="72" customFormat="1" ht="15" customHeight="1">
      <c r="A37" s="431" t="s">
        <v>190</v>
      </c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40"/>
    </row>
    <row r="38" spans="1:37" s="72" customFormat="1" ht="15" customHeight="1">
      <c r="A38" s="77" t="s">
        <v>201</v>
      </c>
      <c r="B38" s="73" t="s">
        <v>245</v>
      </c>
      <c r="C38" s="81" t="s">
        <v>177</v>
      </c>
      <c r="D38" s="227" t="s">
        <v>178</v>
      </c>
      <c r="E38" s="94" t="s">
        <v>173</v>
      </c>
      <c r="F38" s="89">
        <f>SUM(G38:R38)</f>
        <v>15286.739999999998</v>
      </c>
      <c r="G38" s="89">
        <f>G10+G11+G12+G13</f>
        <v>1370.29</v>
      </c>
      <c r="H38" s="89">
        <f t="shared" ref="H38:R38" si="2">H10+H11+H12+H13</f>
        <v>1362.4900000000002</v>
      </c>
      <c r="I38" s="89">
        <f t="shared" si="2"/>
        <v>1353.78</v>
      </c>
      <c r="J38" s="89">
        <f t="shared" si="2"/>
        <v>1034.81</v>
      </c>
      <c r="K38" s="89">
        <f t="shared" si="2"/>
        <v>1471.8000000000002</v>
      </c>
      <c r="L38" s="89">
        <f t="shared" si="2"/>
        <v>1341.5100000000002</v>
      </c>
      <c r="M38" s="277">
        <f t="shared" si="2"/>
        <v>1118.8399999999999</v>
      </c>
      <c r="N38" s="277">
        <f t="shared" si="2"/>
        <v>1092.73</v>
      </c>
      <c r="O38" s="277">
        <f t="shared" si="2"/>
        <v>1341.71</v>
      </c>
      <c r="P38" s="89">
        <f t="shared" si="2"/>
        <v>1274.03</v>
      </c>
      <c r="Q38" s="89">
        <f t="shared" si="2"/>
        <v>1214.6999999999998</v>
      </c>
      <c r="R38" s="89">
        <f t="shared" si="2"/>
        <v>1310.0499999999997</v>
      </c>
      <c r="S38" s="89">
        <f>F38*0.845</f>
        <v>12917.295299999998</v>
      </c>
      <c r="T38" s="72" t="s">
        <v>77</v>
      </c>
    </row>
    <row r="39" spans="1:37" s="72" customFormat="1" ht="15" customHeight="1">
      <c r="A39" s="77" t="s">
        <v>192</v>
      </c>
      <c r="B39" s="73" t="s">
        <v>245</v>
      </c>
      <c r="C39" s="81" t="s">
        <v>177</v>
      </c>
      <c r="D39" s="227" t="s">
        <v>178</v>
      </c>
      <c r="E39" s="94" t="s">
        <v>173</v>
      </c>
      <c r="F39" s="89">
        <f>SUM(G39:R39)</f>
        <v>12283.880000000001</v>
      </c>
      <c r="G39" s="89">
        <f>G14+G15</f>
        <v>834.33999999999992</v>
      </c>
      <c r="H39" s="89">
        <f t="shared" ref="H39:R39" si="3">H14+H15</f>
        <v>1251.8400000000001</v>
      </c>
      <c r="I39" s="89">
        <f t="shared" si="3"/>
        <v>1036.76</v>
      </c>
      <c r="J39" s="89">
        <f t="shared" si="3"/>
        <v>1136.05</v>
      </c>
      <c r="K39" s="89">
        <f t="shared" si="3"/>
        <v>1134.21</v>
      </c>
      <c r="L39" s="89">
        <f t="shared" si="3"/>
        <v>1011.6099999999999</v>
      </c>
      <c r="M39" s="277">
        <f t="shared" si="3"/>
        <v>863.98</v>
      </c>
      <c r="N39" s="277">
        <f t="shared" si="3"/>
        <v>788.81000000000006</v>
      </c>
      <c r="O39" s="277">
        <f t="shared" si="3"/>
        <v>898.7</v>
      </c>
      <c r="P39" s="89">
        <f t="shared" si="3"/>
        <v>1225.8200000000002</v>
      </c>
      <c r="Q39" s="89">
        <f t="shared" si="3"/>
        <v>1090.21</v>
      </c>
      <c r="R39" s="89">
        <f t="shared" si="3"/>
        <v>1011.5500000000001</v>
      </c>
      <c r="S39" s="89">
        <f>F39*0.7535</f>
        <v>9255.9035800000001</v>
      </c>
      <c r="T39" s="72" t="s">
        <v>77</v>
      </c>
    </row>
    <row r="40" spans="1:37" s="72" customFormat="1" ht="15" customHeight="1">
      <c r="A40" s="77" t="s">
        <v>193</v>
      </c>
      <c r="B40" s="73" t="s">
        <v>245</v>
      </c>
      <c r="C40" s="81" t="s">
        <v>177</v>
      </c>
      <c r="D40" s="227" t="s">
        <v>178</v>
      </c>
      <c r="E40" s="94" t="s">
        <v>184</v>
      </c>
      <c r="F40" s="89">
        <f>SUM(G40:R40)</f>
        <v>166539</v>
      </c>
      <c r="G40" s="89">
        <f>G31</f>
        <v>11143</v>
      </c>
      <c r="H40" s="89">
        <f t="shared" ref="H40:R40" si="4">H31</f>
        <v>11278</v>
      </c>
      <c r="I40" s="89">
        <f t="shared" si="4"/>
        <v>13808</v>
      </c>
      <c r="J40" s="89">
        <f t="shared" si="4"/>
        <v>13338</v>
      </c>
      <c r="K40" s="89">
        <f t="shared" si="4"/>
        <v>13808</v>
      </c>
      <c r="L40" s="89">
        <f t="shared" si="4"/>
        <v>13419</v>
      </c>
      <c r="M40" s="277">
        <f t="shared" si="4"/>
        <v>14863</v>
      </c>
      <c r="N40" s="277">
        <f t="shared" si="4"/>
        <v>15947</v>
      </c>
      <c r="O40" s="277">
        <f t="shared" si="4"/>
        <v>14166</v>
      </c>
      <c r="P40" s="89">
        <f t="shared" si="4"/>
        <v>15627</v>
      </c>
      <c r="Q40" s="89">
        <f t="shared" si="4"/>
        <v>14266</v>
      </c>
      <c r="R40" s="89">
        <f t="shared" si="4"/>
        <v>14876</v>
      </c>
    </row>
    <row r="41" spans="1:37" s="72" customFormat="1" ht="15" customHeight="1">
      <c r="A41" s="441" t="s">
        <v>75</v>
      </c>
      <c r="B41" s="417"/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42"/>
    </row>
    <row r="42" spans="1:37" s="72" customFormat="1" ht="15" customHeight="1">
      <c r="A42" s="84" t="s">
        <v>9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80"/>
    </row>
    <row r="43" spans="1:37" s="72" customFormat="1" ht="15" customHeight="1">
      <c r="A43" s="453" t="s">
        <v>155</v>
      </c>
      <c r="B43" s="446"/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  <c r="O43" s="446"/>
      <c r="P43" s="446"/>
      <c r="Q43" s="446"/>
      <c r="R43" s="454"/>
    </row>
    <row r="44" spans="1:37" s="72" customFormat="1" ht="15" customHeight="1">
      <c r="A44" s="87" t="s">
        <v>194</v>
      </c>
      <c r="B44" s="94" t="s">
        <v>210</v>
      </c>
      <c r="C44" s="78" t="s">
        <v>218</v>
      </c>
      <c r="D44" s="75" t="s">
        <v>219</v>
      </c>
      <c r="E44" s="88" t="s">
        <v>77</v>
      </c>
      <c r="F44" s="89">
        <f>SUM(G44:R44)</f>
        <v>8378.16</v>
      </c>
      <c r="G44" s="89">
        <v>852.1</v>
      </c>
      <c r="H44" s="89">
        <f>725.6+21.7</f>
        <v>747.30000000000007</v>
      </c>
      <c r="I44" s="89">
        <v>553.29999999999995</v>
      </c>
      <c r="J44" s="89">
        <v>831.1</v>
      </c>
      <c r="K44" s="89">
        <v>916.6</v>
      </c>
      <c r="L44" s="89">
        <v>706.8</v>
      </c>
      <c r="M44" s="277">
        <v>659.6</v>
      </c>
      <c r="N44" s="277">
        <v>659.6</v>
      </c>
      <c r="O44" s="277">
        <v>629.4</v>
      </c>
      <c r="P44" s="89">
        <v>663.66</v>
      </c>
      <c r="Q44" s="89">
        <v>581.70000000000005</v>
      </c>
      <c r="R44" s="89">
        <v>577</v>
      </c>
      <c r="S44" s="76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</row>
    <row r="45" spans="1:37" s="72" customFormat="1" ht="15" customHeight="1">
      <c r="A45" s="193" t="s">
        <v>195</v>
      </c>
      <c r="B45" s="75" t="s">
        <v>176</v>
      </c>
      <c r="C45" s="78" t="s">
        <v>206</v>
      </c>
      <c r="D45" s="75" t="s">
        <v>178</v>
      </c>
      <c r="E45" s="94" t="s">
        <v>142</v>
      </c>
      <c r="F45" s="89">
        <f>SUM(G45:R45)</f>
        <v>960</v>
      </c>
      <c r="G45" s="89">
        <v>80</v>
      </c>
      <c r="H45" s="89">
        <v>80</v>
      </c>
      <c r="I45" s="89">
        <v>80</v>
      </c>
      <c r="J45" s="89">
        <v>80</v>
      </c>
      <c r="K45" s="89">
        <v>80</v>
      </c>
      <c r="L45" s="89">
        <v>80</v>
      </c>
      <c r="M45" s="277">
        <v>80</v>
      </c>
      <c r="N45" s="277">
        <v>80</v>
      </c>
      <c r="O45" s="277">
        <v>80</v>
      </c>
      <c r="P45" s="89">
        <v>80</v>
      </c>
      <c r="Q45" s="89">
        <v>80</v>
      </c>
      <c r="R45" s="89">
        <v>80</v>
      </c>
      <c r="S45" s="225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</row>
    <row r="46" spans="1:37" s="72" customFormat="1" ht="15" customHeight="1">
      <c r="A46" s="193" t="s">
        <v>196</v>
      </c>
      <c r="B46" s="75" t="s">
        <v>176</v>
      </c>
      <c r="C46" s="78" t="s">
        <v>206</v>
      </c>
      <c r="D46" s="75" t="s">
        <v>178</v>
      </c>
      <c r="E46" s="94" t="s">
        <v>143</v>
      </c>
      <c r="F46" s="89">
        <f>SUM(G46:R46)</f>
        <v>83.79</v>
      </c>
      <c r="G46" s="89">
        <v>8.52</v>
      </c>
      <c r="H46" s="89">
        <v>7.47</v>
      </c>
      <c r="I46" s="89">
        <v>5.53</v>
      </c>
      <c r="J46" s="89">
        <v>8.31</v>
      </c>
      <c r="K46" s="89">
        <v>9.17</v>
      </c>
      <c r="L46" s="89">
        <v>7.07</v>
      </c>
      <c r="M46" s="277">
        <v>6.6</v>
      </c>
      <c r="N46" s="277">
        <v>6.6</v>
      </c>
      <c r="O46" s="277">
        <v>6.29</v>
      </c>
      <c r="P46" s="89">
        <v>6.64</v>
      </c>
      <c r="Q46" s="89">
        <v>5.82</v>
      </c>
      <c r="R46" s="89">
        <v>5.77</v>
      </c>
      <c r="S46" s="225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</row>
    <row r="47" spans="1:37" s="72" customFormat="1" ht="15" customHeight="1">
      <c r="A47" s="431" t="s">
        <v>157</v>
      </c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440"/>
    </row>
    <row r="48" spans="1:37" s="72" customFormat="1" ht="15" customHeight="1">
      <c r="A48" s="173" t="s">
        <v>139</v>
      </c>
      <c r="B48" s="226" t="s">
        <v>224</v>
      </c>
      <c r="C48" s="77" t="s">
        <v>225</v>
      </c>
      <c r="D48" s="94" t="s">
        <v>226</v>
      </c>
      <c r="E48" s="175" t="s">
        <v>197</v>
      </c>
      <c r="F48" s="91">
        <f>SUM(G48:R48)</f>
        <v>3126</v>
      </c>
      <c r="G48" s="234">
        <v>474</v>
      </c>
      <c r="H48" s="234">
        <v>0</v>
      </c>
      <c r="I48" s="234">
        <v>0</v>
      </c>
      <c r="J48" s="234">
        <v>0</v>
      </c>
      <c r="K48" s="234">
        <v>0</v>
      </c>
      <c r="L48" s="234">
        <v>246</v>
      </c>
      <c r="M48" s="93">
        <v>0</v>
      </c>
      <c r="N48" s="93">
        <v>0</v>
      </c>
      <c r="O48" s="93">
        <v>772</v>
      </c>
      <c r="P48" s="93">
        <v>246</v>
      </c>
      <c r="Q48" s="93">
        <v>1388</v>
      </c>
      <c r="R48" s="89">
        <v>0</v>
      </c>
      <c r="S48" s="76"/>
    </row>
    <row r="49" spans="1:21" s="72" customFormat="1" ht="15" customHeight="1">
      <c r="A49" s="78" t="s">
        <v>198</v>
      </c>
      <c r="B49" s="96" t="s">
        <v>199</v>
      </c>
      <c r="C49" s="77" t="s">
        <v>225</v>
      </c>
      <c r="D49" s="94" t="s">
        <v>226</v>
      </c>
      <c r="E49" s="95" t="s">
        <v>77</v>
      </c>
      <c r="F49" s="74">
        <f>SUM(G49:R49)</f>
        <v>0</v>
      </c>
      <c r="G49" s="228"/>
      <c r="H49" s="228"/>
      <c r="I49" s="228"/>
      <c r="J49" s="228"/>
      <c r="K49" s="228"/>
      <c r="L49" s="228"/>
      <c r="M49" s="89"/>
      <c r="N49" s="89"/>
      <c r="O49" s="89"/>
      <c r="P49" s="89"/>
      <c r="Q49" s="89"/>
      <c r="R49" s="89"/>
      <c r="S49" s="76"/>
    </row>
    <row r="50" spans="1:21" s="72" customFormat="1" ht="15" customHeight="1">
      <c r="A50" s="77" t="s">
        <v>246</v>
      </c>
      <c r="B50" s="94" t="s">
        <v>227</v>
      </c>
      <c r="C50" s="77" t="s">
        <v>218</v>
      </c>
      <c r="D50" s="94" t="s">
        <v>219</v>
      </c>
      <c r="E50" s="94" t="s">
        <v>173</v>
      </c>
      <c r="F50" s="89">
        <f>SUM(G50:R50)</f>
        <v>4013.2999999999997</v>
      </c>
      <c r="G50" s="89">
        <f>111.48+111.48+111.48</f>
        <v>334.44</v>
      </c>
      <c r="H50" s="89">
        <f>111.48+111.48+111.48</f>
        <v>334.44</v>
      </c>
      <c r="I50" s="89">
        <f t="shared" ref="I50:O50" si="5">111.48+111.48+111.48</f>
        <v>334.44</v>
      </c>
      <c r="J50" s="89">
        <f t="shared" si="5"/>
        <v>334.44</v>
      </c>
      <c r="K50" s="89">
        <f t="shared" si="5"/>
        <v>334.44</v>
      </c>
      <c r="L50" s="89">
        <f t="shared" si="5"/>
        <v>334.44</v>
      </c>
      <c r="M50" s="277">
        <f t="shared" si="5"/>
        <v>334.44</v>
      </c>
      <c r="N50" s="277">
        <f t="shared" si="5"/>
        <v>334.44</v>
      </c>
      <c r="O50" s="277">
        <f t="shared" si="5"/>
        <v>334.44</v>
      </c>
      <c r="P50" s="89">
        <v>334.44</v>
      </c>
      <c r="Q50" s="89">
        <v>334.45</v>
      </c>
      <c r="R50" s="89">
        <v>334.45</v>
      </c>
      <c r="S50" s="89">
        <f>F50*0.845</f>
        <v>3391.2384999999995</v>
      </c>
      <c r="T50" s="72" t="s">
        <v>77</v>
      </c>
      <c r="U50" s="72" t="s">
        <v>233</v>
      </c>
    </row>
    <row r="51" spans="1:21" s="72" customFormat="1" ht="15" customHeight="1">
      <c r="A51" s="77" t="s">
        <v>234</v>
      </c>
      <c r="B51" s="94" t="s">
        <v>227</v>
      </c>
      <c r="C51" s="77" t="s">
        <v>218</v>
      </c>
      <c r="D51" s="94" t="s">
        <v>219</v>
      </c>
      <c r="E51" s="94" t="s">
        <v>173</v>
      </c>
      <c r="F51" s="89">
        <f t="shared" ref="F51:F61" si="6">SUM(G51:R51)</f>
        <v>1337.76</v>
      </c>
      <c r="G51" s="89">
        <v>111.48</v>
      </c>
      <c r="H51" s="89">
        <v>111.48</v>
      </c>
      <c r="I51" s="278">
        <v>111.48</v>
      </c>
      <c r="J51" s="278">
        <v>111.48</v>
      </c>
      <c r="K51" s="278">
        <v>111.48</v>
      </c>
      <c r="L51" s="290">
        <v>111.48</v>
      </c>
      <c r="M51" s="277">
        <v>111.48</v>
      </c>
      <c r="N51" s="277">
        <v>111.48</v>
      </c>
      <c r="O51" s="277">
        <v>111.48</v>
      </c>
      <c r="P51" s="89">
        <v>111.48</v>
      </c>
      <c r="Q51" s="89">
        <v>111.48</v>
      </c>
      <c r="R51" s="89">
        <v>111.48</v>
      </c>
      <c r="S51" s="89">
        <f>F51*0.7535</f>
        <v>1008.0021599999999</v>
      </c>
      <c r="T51" s="72" t="s">
        <v>77</v>
      </c>
      <c r="U51" s="72" t="s">
        <v>233</v>
      </c>
    </row>
    <row r="52" spans="1:21" s="72" customFormat="1" ht="15" customHeight="1">
      <c r="A52" s="77" t="s">
        <v>235</v>
      </c>
      <c r="B52" s="94" t="s">
        <v>227</v>
      </c>
      <c r="C52" s="77" t="s">
        <v>218</v>
      </c>
      <c r="D52" s="94" t="s">
        <v>219</v>
      </c>
      <c r="E52" s="94" t="s">
        <v>173</v>
      </c>
      <c r="F52" s="89">
        <f t="shared" si="6"/>
        <v>2675.5399999999995</v>
      </c>
      <c r="G52" s="89">
        <f t="shared" ref="G52:L52" si="7">111.48+111.48</f>
        <v>222.96</v>
      </c>
      <c r="H52" s="89">
        <f t="shared" si="7"/>
        <v>222.96</v>
      </c>
      <c r="I52" s="89">
        <f t="shared" si="7"/>
        <v>222.96</v>
      </c>
      <c r="J52" s="89">
        <f t="shared" si="7"/>
        <v>222.96</v>
      </c>
      <c r="K52" s="89">
        <f t="shared" si="7"/>
        <v>222.96</v>
      </c>
      <c r="L52" s="89">
        <f t="shared" si="7"/>
        <v>222.96</v>
      </c>
      <c r="M52" s="277">
        <v>222.96</v>
      </c>
      <c r="N52" s="277">
        <v>222.96</v>
      </c>
      <c r="O52" s="277">
        <v>222.96</v>
      </c>
      <c r="P52" s="89">
        <v>222.96</v>
      </c>
      <c r="Q52" s="89">
        <v>222.97</v>
      </c>
      <c r="R52" s="89">
        <v>222.97</v>
      </c>
      <c r="S52" s="89">
        <f>F52*0.7535</f>
        <v>2016.0193899999995</v>
      </c>
      <c r="T52" s="72" t="s">
        <v>77</v>
      </c>
      <c r="U52" s="72" t="s">
        <v>233</v>
      </c>
    </row>
    <row r="53" spans="1:21" s="72" customFormat="1" ht="15" customHeight="1">
      <c r="A53" s="77" t="s">
        <v>236</v>
      </c>
      <c r="B53" s="94" t="s">
        <v>227</v>
      </c>
      <c r="C53" s="77" t="s">
        <v>218</v>
      </c>
      <c r="D53" s="94" t="s">
        <v>219</v>
      </c>
      <c r="E53" s="94" t="s">
        <v>173</v>
      </c>
      <c r="F53" s="89">
        <f t="shared" si="6"/>
        <v>1337.76</v>
      </c>
      <c r="G53" s="89">
        <v>111.48</v>
      </c>
      <c r="H53" s="89">
        <v>111.48</v>
      </c>
      <c r="I53" s="89">
        <v>111.48</v>
      </c>
      <c r="J53" s="89">
        <v>111.48</v>
      </c>
      <c r="K53" s="89">
        <v>111.48</v>
      </c>
      <c r="L53" s="89">
        <v>111.48</v>
      </c>
      <c r="M53" s="277">
        <v>111.48</v>
      </c>
      <c r="N53" s="277">
        <v>111.48</v>
      </c>
      <c r="O53" s="277">
        <v>111.48</v>
      </c>
      <c r="P53" s="89">
        <v>111.48</v>
      </c>
      <c r="Q53" s="89">
        <v>111.48</v>
      </c>
      <c r="R53" s="89">
        <v>111.48</v>
      </c>
      <c r="S53" s="89">
        <f>F53*0.845</f>
        <v>1130.4071999999999</v>
      </c>
      <c r="T53" s="72" t="s">
        <v>77</v>
      </c>
      <c r="U53" s="72" t="s">
        <v>233</v>
      </c>
    </row>
    <row r="54" spans="1:21" s="72" customFormat="1" ht="15" customHeight="1">
      <c r="A54" s="77" t="s">
        <v>239</v>
      </c>
      <c r="B54" s="94" t="s">
        <v>227</v>
      </c>
      <c r="C54" s="77" t="s">
        <v>218</v>
      </c>
      <c r="D54" s="94" t="s">
        <v>219</v>
      </c>
      <c r="E54" s="94" t="s">
        <v>173</v>
      </c>
      <c r="F54" s="89">
        <f t="shared" si="6"/>
        <v>1092.8399999999997</v>
      </c>
      <c r="G54" s="89">
        <v>91.07</v>
      </c>
      <c r="H54" s="89">
        <v>91.07</v>
      </c>
      <c r="I54" s="89">
        <v>91.07</v>
      </c>
      <c r="J54" s="89">
        <v>91.07</v>
      </c>
      <c r="K54" s="89">
        <v>91.07</v>
      </c>
      <c r="L54" s="89">
        <v>91.07</v>
      </c>
      <c r="M54" s="277">
        <v>91.07</v>
      </c>
      <c r="N54" s="277">
        <v>91.07</v>
      </c>
      <c r="O54" s="277">
        <v>91.07</v>
      </c>
      <c r="P54" s="89">
        <v>91.07</v>
      </c>
      <c r="Q54" s="89">
        <v>91.07</v>
      </c>
      <c r="R54" s="89">
        <v>91.07</v>
      </c>
      <c r="S54" s="89">
        <f>F54*0.845</f>
        <v>923.44979999999975</v>
      </c>
      <c r="T54" s="72" t="s">
        <v>77</v>
      </c>
      <c r="U54" s="72" t="s">
        <v>233</v>
      </c>
    </row>
    <row r="55" spans="1:21" s="72" customFormat="1" ht="15" customHeight="1">
      <c r="A55" s="77" t="s">
        <v>237</v>
      </c>
      <c r="B55" s="94" t="s">
        <v>227</v>
      </c>
      <c r="C55" s="77" t="s">
        <v>218</v>
      </c>
      <c r="D55" s="94" t="s">
        <v>219</v>
      </c>
      <c r="E55" s="94" t="s">
        <v>173</v>
      </c>
      <c r="F55" s="89">
        <f t="shared" si="6"/>
        <v>1003.32</v>
      </c>
      <c r="G55" s="89">
        <v>83.61</v>
      </c>
      <c r="H55" s="89">
        <v>83.61</v>
      </c>
      <c r="I55" s="89">
        <v>83.61</v>
      </c>
      <c r="J55" s="89">
        <v>83.61</v>
      </c>
      <c r="K55" s="89">
        <v>83.61</v>
      </c>
      <c r="L55" s="89">
        <v>83.61</v>
      </c>
      <c r="M55" s="277">
        <v>83.61</v>
      </c>
      <c r="N55" s="277">
        <v>83.61</v>
      </c>
      <c r="O55" s="277">
        <v>83.61</v>
      </c>
      <c r="P55" s="89">
        <v>83.61</v>
      </c>
      <c r="Q55" s="89">
        <v>83.61</v>
      </c>
      <c r="R55" s="89">
        <v>83.61</v>
      </c>
      <c r="S55" s="89">
        <f>F55*0.7535</f>
        <v>756.00162</v>
      </c>
      <c r="T55" s="72" t="s">
        <v>77</v>
      </c>
      <c r="U55" s="72" t="s">
        <v>233</v>
      </c>
    </row>
    <row r="56" spans="1:21" s="72" customFormat="1" ht="15" customHeight="1">
      <c r="A56" s="77" t="s">
        <v>240</v>
      </c>
      <c r="B56" s="94" t="s">
        <v>227</v>
      </c>
      <c r="C56" s="77" t="s">
        <v>218</v>
      </c>
      <c r="D56" s="94" t="s">
        <v>219</v>
      </c>
      <c r="E56" s="94" t="s">
        <v>173</v>
      </c>
      <c r="F56" s="89">
        <f t="shared" si="6"/>
        <v>3009.9599999999996</v>
      </c>
      <c r="G56" s="89">
        <f t="shared" ref="G56:L56" si="8">83.61+83.61+83.61</f>
        <v>250.82999999999998</v>
      </c>
      <c r="H56" s="89">
        <f t="shared" si="8"/>
        <v>250.82999999999998</v>
      </c>
      <c r="I56" s="89">
        <f t="shared" si="8"/>
        <v>250.82999999999998</v>
      </c>
      <c r="J56" s="89">
        <f t="shared" si="8"/>
        <v>250.82999999999998</v>
      </c>
      <c r="K56" s="89">
        <f t="shared" si="8"/>
        <v>250.82999999999998</v>
      </c>
      <c r="L56" s="89">
        <f t="shared" si="8"/>
        <v>250.82999999999998</v>
      </c>
      <c r="M56" s="277">
        <v>250.82999999999998</v>
      </c>
      <c r="N56" s="277">
        <v>250.82999999999998</v>
      </c>
      <c r="O56" s="277">
        <v>250.82999999999998</v>
      </c>
      <c r="P56" s="89">
        <v>250.83</v>
      </c>
      <c r="Q56" s="89">
        <v>250.83</v>
      </c>
      <c r="R56" s="89">
        <v>250.83</v>
      </c>
      <c r="S56" s="89">
        <f>F56*0.7535</f>
        <v>2268.0048599999996</v>
      </c>
      <c r="T56" s="72" t="s">
        <v>77</v>
      </c>
      <c r="U56" s="72" t="s">
        <v>233</v>
      </c>
    </row>
    <row r="57" spans="1:21" s="72" customFormat="1" ht="15" customHeight="1">
      <c r="A57" s="77" t="s">
        <v>241</v>
      </c>
      <c r="B57" s="94" t="s">
        <v>227</v>
      </c>
      <c r="C57" s="77" t="s">
        <v>218</v>
      </c>
      <c r="D57" s="94" t="s">
        <v>219</v>
      </c>
      <c r="E57" s="94" t="s">
        <v>173</v>
      </c>
      <c r="F57" s="89">
        <f t="shared" si="6"/>
        <v>1433.49</v>
      </c>
      <c r="G57" s="89">
        <v>83.61</v>
      </c>
      <c r="H57" s="89">
        <v>83.61</v>
      </c>
      <c r="I57" s="89">
        <v>83.61</v>
      </c>
      <c r="J57" s="89">
        <v>83.61</v>
      </c>
      <c r="K57" s="89">
        <v>83.61</v>
      </c>
      <c r="L57" s="89">
        <v>83.61</v>
      </c>
      <c r="M57" s="277">
        <v>83.61</v>
      </c>
      <c r="N57" s="277">
        <v>83.61</v>
      </c>
      <c r="O57" s="277">
        <v>83.61</v>
      </c>
      <c r="P57" s="89">
        <v>227</v>
      </c>
      <c r="Q57" s="89">
        <v>227</v>
      </c>
      <c r="R57" s="89">
        <v>227</v>
      </c>
      <c r="S57" s="89">
        <f>F57*0.845</f>
        <v>1211.2990500000001</v>
      </c>
      <c r="T57" s="72" t="s">
        <v>77</v>
      </c>
      <c r="U57" s="72" t="s">
        <v>233</v>
      </c>
    </row>
    <row r="58" spans="1:21" s="72" customFormat="1" ht="15" customHeight="1">
      <c r="A58" s="77" t="s">
        <v>242</v>
      </c>
      <c r="B58" s="94" t="s">
        <v>227</v>
      </c>
      <c r="C58" s="77" t="s">
        <v>218</v>
      </c>
      <c r="D58" s="94" t="s">
        <v>219</v>
      </c>
      <c r="E58" s="94" t="s">
        <v>173</v>
      </c>
      <c r="F58" s="89">
        <f t="shared" si="6"/>
        <v>1457.1658166363088</v>
      </c>
      <c r="G58" s="89">
        <v>121.43</v>
      </c>
      <c r="H58" s="89">
        <v>121.43</v>
      </c>
      <c r="I58" s="89">
        <v>121.43</v>
      </c>
      <c r="J58" s="89">
        <v>121.43</v>
      </c>
      <c r="K58" s="89">
        <v>121.43</v>
      </c>
      <c r="L58" s="89">
        <v>121.43</v>
      </c>
      <c r="M58" s="277">
        <v>121.43</v>
      </c>
      <c r="N58" s="277">
        <v>121.43</v>
      </c>
      <c r="O58" s="277">
        <v>121.43</v>
      </c>
      <c r="P58" s="89">
        <v>121.43290831815423</v>
      </c>
      <c r="Q58" s="89">
        <v>121.43290831815423</v>
      </c>
      <c r="R58" s="89">
        <v>121.43</v>
      </c>
      <c r="S58" s="89"/>
    </row>
    <row r="59" spans="1:21" s="72" customFormat="1" ht="15" customHeight="1">
      <c r="A59" s="77" t="s">
        <v>244</v>
      </c>
      <c r="B59" s="94" t="s">
        <v>227</v>
      </c>
      <c r="C59" s="77" t="s">
        <v>218</v>
      </c>
      <c r="D59" s="94" t="s">
        <v>219</v>
      </c>
      <c r="E59" s="94" t="s">
        <v>173</v>
      </c>
      <c r="F59" s="89">
        <f t="shared" si="6"/>
        <v>969.7700000000001</v>
      </c>
      <c r="G59" s="277">
        <v>91.07</v>
      </c>
      <c r="H59" s="277">
        <v>0</v>
      </c>
      <c r="I59" s="277">
        <v>142.81</v>
      </c>
      <c r="J59" s="277">
        <v>149.61000000000001</v>
      </c>
      <c r="K59" s="277">
        <v>149.61000000000001</v>
      </c>
      <c r="L59" s="277">
        <v>151.55000000000001</v>
      </c>
      <c r="M59" s="277">
        <v>140.86000000000001</v>
      </c>
      <c r="N59" s="277">
        <v>144.26</v>
      </c>
      <c r="O59" s="277">
        <v>0</v>
      </c>
      <c r="P59" s="89">
        <v>0</v>
      </c>
      <c r="Q59" s="89">
        <v>0</v>
      </c>
      <c r="R59" s="89">
        <v>0</v>
      </c>
      <c r="S59" s="89">
        <f>F59*0.87</f>
        <v>843.69990000000007</v>
      </c>
      <c r="T59" s="72" t="s">
        <v>77</v>
      </c>
      <c r="U59" s="72" t="s">
        <v>233</v>
      </c>
    </row>
    <row r="60" spans="1:21" s="72" customFormat="1" ht="15" customHeight="1">
      <c r="A60" s="77" t="s">
        <v>243</v>
      </c>
      <c r="B60" s="94" t="s">
        <v>227</v>
      </c>
      <c r="C60" s="77" t="s">
        <v>218</v>
      </c>
      <c r="D60" s="94" t="s">
        <v>219</v>
      </c>
      <c r="E60" s="94" t="s">
        <v>173</v>
      </c>
      <c r="F60" s="89">
        <f t="shared" si="6"/>
        <v>837.68999999999994</v>
      </c>
      <c r="G60" s="277">
        <v>83.61</v>
      </c>
      <c r="H60" s="277">
        <v>0</v>
      </c>
      <c r="I60" s="277">
        <v>298.33</v>
      </c>
      <c r="J60" s="277">
        <v>117.5</v>
      </c>
      <c r="K60" s="277">
        <v>67.34</v>
      </c>
      <c r="L60" s="277">
        <v>98.55</v>
      </c>
      <c r="M60" s="277">
        <v>82.5</v>
      </c>
      <c r="N60" s="277">
        <v>89.86</v>
      </c>
      <c r="O60" s="277">
        <v>0</v>
      </c>
      <c r="P60" s="89">
        <v>0</v>
      </c>
      <c r="Q60" s="89">
        <v>0</v>
      </c>
      <c r="R60" s="89">
        <v>0</v>
      </c>
      <c r="S60" s="89">
        <f>F60*0.7411</f>
        <v>620.81205899999998</v>
      </c>
      <c r="T60" s="72" t="s">
        <v>77</v>
      </c>
      <c r="U60" s="72" t="s">
        <v>233</v>
      </c>
    </row>
    <row r="61" spans="1:21" s="72" customFormat="1" ht="15" customHeight="1">
      <c r="A61" s="77" t="s">
        <v>238</v>
      </c>
      <c r="B61" s="94" t="s">
        <v>227</v>
      </c>
      <c r="C61" s="77" t="s">
        <v>218</v>
      </c>
      <c r="D61" s="94" t="s">
        <v>219</v>
      </c>
      <c r="E61" s="94" t="s">
        <v>173</v>
      </c>
      <c r="F61" s="89">
        <f t="shared" si="6"/>
        <v>5079.34</v>
      </c>
      <c r="G61" s="89">
        <f>108.42+121.09+97.16+71.81+71.81</f>
        <v>470.28999999999996</v>
      </c>
      <c r="H61" s="89">
        <f>136.58+121.09+109.83+76.03+76.03</f>
        <v>519.55999999999995</v>
      </c>
      <c r="I61" s="89">
        <f>78.85+56.32+76.6+42.24+42.24</f>
        <v>296.25</v>
      </c>
      <c r="J61" s="89">
        <f>90.12+78.85+109.83+67.59+67.59</f>
        <v>413.98</v>
      </c>
      <c r="K61" s="89">
        <f>84.48+84.48+84.48+84.48+84.48</f>
        <v>422.40000000000003</v>
      </c>
      <c r="L61" s="89">
        <f>84.48+84.48+84.48+84.48+84.48</f>
        <v>422.40000000000003</v>
      </c>
      <c r="M61" s="277">
        <f>84.48+84.48+84.48+84.48+84.48</f>
        <v>422.40000000000003</v>
      </c>
      <c r="N61" s="277">
        <f>84.48+84.48+84.48+84.48+84.48</f>
        <v>422.40000000000003</v>
      </c>
      <c r="O61" s="277">
        <f>84.48+84.48+84.48+84.48+84.48</f>
        <v>422.40000000000003</v>
      </c>
      <c r="P61" s="89">
        <v>422.42</v>
      </c>
      <c r="Q61" s="89">
        <v>422.42</v>
      </c>
      <c r="R61" s="89">
        <v>422.42</v>
      </c>
      <c r="S61" s="89">
        <f>F61*0.7411</f>
        <v>3764.2988740000001</v>
      </c>
      <c r="T61" s="72" t="s">
        <v>77</v>
      </c>
      <c r="U61" s="72" t="s">
        <v>233</v>
      </c>
    </row>
    <row r="62" spans="1:21" s="72" customFormat="1" ht="15" customHeight="1">
      <c r="A62" s="431" t="s">
        <v>158</v>
      </c>
      <c r="B62" s="439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40"/>
      <c r="S62" s="76"/>
    </row>
    <row r="63" spans="1:21" s="72" customFormat="1" ht="15" customHeight="1">
      <c r="A63" s="174" t="s">
        <v>254</v>
      </c>
      <c r="B63" s="231" t="s">
        <v>228</v>
      </c>
      <c r="C63" s="173" t="s">
        <v>220</v>
      </c>
      <c r="D63" s="226" t="s">
        <v>219</v>
      </c>
      <c r="E63" s="232" t="s">
        <v>229</v>
      </c>
      <c r="F63" s="286">
        <v>4668.82</v>
      </c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8"/>
      <c r="S63" s="89">
        <f>F63*0.845</f>
        <v>3945.1528999999996</v>
      </c>
      <c r="T63" s="72" t="s">
        <v>77</v>
      </c>
    </row>
    <row r="64" spans="1:21" s="72" customFormat="1" ht="15" customHeight="1">
      <c r="A64" s="77" t="s">
        <v>191</v>
      </c>
      <c r="B64" s="97" t="s">
        <v>228</v>
      </c>
      <c r="C64" s="78" t="s">
        <v>220</v>
      </c>
      <c r="D64" s="96" t="s">
        <v>219</v>
      </c>
      <c r="E64" s="229" t="s">
        <v>229</v>
      </c>
      <c r="F64" s="283">
        <v>1565.1</v>
      </c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5"/>
      <c r="S64" s="89">
        <f>F64*0.7411</f>
        <v>1159.8956099999998</v>
      </c>
      <c r="T64" s="72" t="s">
        <v>77</v>
      </c>
    </row>
    <row r="65" spans="1:20" s="72" customFormat="1" ht="15" customHeight="1">
      <c r="A65" s="77" t="s">
        <v>192</v>
      </c>
      <c r="B65" s="97" t="s">
        <v>228</v>
      </c>
      <c r="C65" s="78" t="s">
        <v>220</v>
      </c>
      <c r="D65" s="96" t="s">
        <v>219</v>
      </c>
      <c r="E65" s="229" t="s">
        <v>229</v>
      </c>
      <c r="F65" s="283">
        <v>15823.54</v>
      </c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5"/>
      <c r="S65" s="89">
        <f>F65*0.7535</f>
        <v>11923.03739</v>
      </c>
      <c r="T65" s="72" t="s">
        <v>77</v>
      </c>
    </row>
    <row r="66" spans="1:20" s="72" customFormat="1" ht="15" customHeight="1">
      <c r="A66" s="77" t="s">
        <v>200</v>
      </c>
      <c r="B66" s="97" t="s">
        <v>228</v>
      </c>
      <c r="C66" s="78" t="s">
        <v>220</v>
      </c>
      <c r="D66" s="96" t="s">
        <v>219</v>
      </c>
      <c r="E66" s="229" t="s">
        <v>229</v>
      </c>
      <c r="F66" s="283">
        <v>5713.37</v>
      </c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5"/>
      <c r="S66" s="89">
        <f>0.754*F66</f>
        <v>4307.8809799999999</v>
      </c>
      <c r="T66" s="72" t="s">
        <v>77</v>
      </c>
    </row>
    <row r="67" spans="1:20" s="72" customFormat="1" ht="15" customHeight="1">
      <c r="A67" s="77" t="s">
        <v>138</v>
      </c>
      <c r="B67" s="97" t="s">
        <v>228</v>
      </c>
      <c r="C67" s="78" t="s">
        <v>220</v>
      </c>
      <c r="D67" s="96" t="s">
        <v>219</v>
      </c>
      <c r="E67" s="229" t="s">
        <v>229</v>
      </c>
      <c r="F67" s="283">
        <v>5726.86</v>
      </c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5"/>
      <c r="S67" s="89">
        <f>0.879*F67</f>
        <v>5033.9099399999996</v>
      </c>
      <c r="T67" s="72" t="s">
        <v>77</v>
      </c>
    </row>
    <row r="68" spans="1:20" s="72" customFormat="1" ht="15" customHeight="1">
      <c r="A68" s="77" t="s">
        <v>78</v>
      </c>
      <c r="B68" s="97" t="s">
        <v>228</v>
      </c>
      <c r="C68" s="78" t="s">
        <v>220</v>
      </c>
      <c r="D68" s="96" t="s">
        <v>219</v>
      </c>
      <c r="E68" s="230" t="s">
        <v>77</v>
      </c>
      <c r="F68" s="283">
        <v>305.8</v>
      </c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5"/>
    </row>
    <row r="69" spans="1:20" s="72" customFormat="1" ht="15" customHeight="1">
      <c r="A69" s="414" t="s">
        <v>159</v>
      </c>
      <c r="B69" s="415"/>
      <c r="C69" s="415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6"/>
    </row>
    <row r="70" spans="1:20" s="72" customFormat="1" ht="15" customHeight="1">
      <c r="A70" s="77" t="s">
        <v>202</v>
      </c>
      <c r="B70" s="455" t="s">
        <v>9</v>
      </c>
      <c r="C70" s="455"/>
      <c r="D70" s="455"/>
      <c r="E70" s="455"/>
      <c r="F70" s="455"/>
      <c r="G70" s="455"/>
      <c r="H70" s="455"/>
      <c r="I70" s="455"/>
      <c r="J70" s="455"/>
      <c r="K70" s="455"/>
      <c r="L70" s="455"/>
      <c r="M70" s="455"/>
      <c r="N70" s="455"/>
      <c r="O70" s="455"/>
      <c r="P70" s="455"/>
      <c r="Q70" s="455"/>
      <c r="R70" s="455"/>
    </row>
    <row r="71" spans="1:20" s="72" customFormat="1" ht="15" customHeight="1">
      <c r="A71" s="77" t="s">
        <v>230</v>
      </c>
      <c r="B71" s="94" t="s">
        <v>183</v>
      </c>
      <c r="C71" s="77" t="s">
        <v>218</v>
      </c>
      <c r="D71" s="94" t="s">
        <v>219</v>
      </c>
      <c r="E71" s="94" t="s">
        <v>184</v>
      </c>
      <c r="F71" s="277">
        <f>SUM(G71:R71)</f>
        <v>2110</v>
      </c>
      <c r="G71" s="72">
        <v>93</v>
      </c>
      <c r="H71" s="273">
        <v>134</v>
      </c>
      <c r="I71" s="273">
        <v>258</v>
      </c>
      <c r="J71" s="273">
        <v>225</v>
      </c>
      <c r="K71" s="273">
        <v>176</v>
      </c>
      <c r="L71" s="282">
        <v>220</v>
      </c>
      <c r="M71" s="194">
        <v>189</v>
      </c>
      <c r="N71" s="194">
        <v>227</v>
      </c>
      <c r="O71" s="194">
        <v>207</v>
      </c>
      <c r="P71" s="273">
        <v>162</v>
      </c>
      <c r="Q71" s="273">
        <v>127</v>
      </c>
      <c r="R71" s="273">
        <v>92</v>
      </c>
    </row>
    <row r="72" spans="1:20" s="72" customFormat="1" ht="15" customHeight="1">
      <c r="A72" s="77" t="s">
        <v>231</v>
      </c>
      <c r="B72" s="94" t="s">
        <v>232</v>
      </c>
      <c r="C72" s="77" t="s">
        <v>218</v>
      </c>
      <c r="D72" s="94" t="s">
        <v>219</v>
      </c>
      <c r="E72" s="73" t="s">
        <v>229</v>
      </c>
      <c r="F72" s="89">
        <f>SUM(G72:R72)</f>
        <v>17</v>
      </c>
      <c r="G72" s="273">
        <v>8</v>
      </c>
      <c r="H72" s="273">
        <v>6</v>
      </c>
      <c r="I72" s="273">
        <v>3</v>
      </c>
      <c r="J72" s="273">
        <v>0</v>
      </c>
      <c r="K72" s="273">
        <v>0</v>
      </c>
      <c r="L72" s="282">
        <v>0</v>
      </c>
      <c r="M72" s="282">
        <v>0</v>
      </c>
      <c r="N72" s="282">
        <v>0</v>
      </c>
      <c r="O72" s="282">
        <v>0</v>
      </c>
      <c r="P72" s="273"/>
      <c r="Q72" s="273"/>
      <c r="R72" s="273"/>
    </row>
    <row r="73" spans="1:20" s="72" customFormat="1" ht="15" customHeight="1">
      <c r="A73" s="441" t="s">
        <v>76</v>
      </c>
      <c r="B73" s="417"/>
      <c r="C73" s="417"/>
      <c r="D73" s="417"/>
      <c r="E73" s="417"/>
      <c r="F73" s="417"/>
      <c r="G73" s="417"/>
      <c r="H73" s="417"/>
      <c r="I73" s="417"/>
      <c r="J73" s="417"/>
      <c r="K73" s="417"/>
      <c r="L73" s="417"/>
      <c r="M73" s="417"/>
      <c r="N73" s="417"/>
      <c r="O73" s="417"/>
      <c r="P73" s="417"/>
      <c r="Q73" s="417"/>
      <c r="R73" s="442"/>
    </row>
    <row r="74" spans="1:20" s="72" customFormat="1" ht="15" customHeight="1">
      <c r="A74" s="410" t="s">
        <v>9</v>
      </c>
      <c r="B74" s="411"/>
      <c r="C74" s="411"/>
      <c r="D74" s="411"/>
      <c r="E74" s="411"/>
      <c r="F74" s="411"/>
      <c r="G74" s="411"/>
      <c r="H74" s="411"/>
      <c r="I74" s="411"/>
      <c r="J74" s="411"/>
      <c r="K74" s="411"/>
      <c r="L74" s="411"/>
      <c r="M74" s="411"/>
      <c r="N74" s="411"/>
      <c r="O74" s="411"/>
      <c r="P74" s="411"/>
      <c r="Q74" s="411"/>
      <c r="R74" s="412"/>
    </row>
    <row r="75" spans="1:20" s="72" customFormat="1" ht="15" customHeight="1">
      <c r="A75" s="451" t="s">
        <v>160</v>
      </c>
      <c r="B75" s="413"/>
      <c r="C75" s="413"/>
      <c r="D75" s="413"/>
      <c r="E75" s="413"/>
      <c r="F75" s="413"/>
      <c r="G75" s="413"/>
      <c r="H75" s="413"/>
      <c r="I75" s="413"/>
      <c r="J75" s="413"/>
      <c r="K75" s="413"/>
      <c r="L75" s="413"/>
      <c r="M75" s="413"/>
      <c r="N75" s="413"/>
      <c r="O75" s="413"/>
      <c r="P75" s="413"/>
      <c r="Q75" s="413"/>
      <c r="R75" s="452"/>
    </row>
    <row r="76" spans="1:20" s="72" customFormat="1" ht="15" customHeight="1">
      <c r="A76" s="410" t="s">
        <v>9</v>
      </c>
      <c r="B76" s="411"/>
      <c r="C76" s="411"/>
      <c r="D76" s="411"/>
      <c r="E76" s="411"/>
      <c r="F76" s="411"/>
      <c r="G76" s="411"/>
      <c r="H76" s="411"/>
      <c r="I76" s="411"/>
      <c r="J76" s="411"/>
      <c r="K76" s="411"/>
      <c r="L76" s="411"/>
      <c r="M76" s="411"/>
      <c r="N76" s="411"/>
      <c r="O76" s="411"/>
      <c r="P76" s="411"/>
      <c r="Q76" s="411"/>
      <c r="R76" s="412"/>
    </row>
    <row r="77" spans="1:20" s="72" customFormat="1" ht="15" customHeight="1">
      <c r="A77" s="451" t="s">
        <v>161</v>
      </c>
      <c r="B77" s="413"/>
      <c r="C77" s="413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52"/>
    </row>
    <row r="78" spans="1:20" s="72" customFormat="1" ht="15" customHeight="1">
      <c r="A78" s="410" t="s">
        <v>9</v>
      </c>
      <c r="B78" s="411"/>
      <c r="C78" s="411"/>
      <c r="D78" s="411"/>
      <c r="E78" s="411"/>
      <c r="F78" s="411"/>
      <c r="G78" s="411"/>
      <c r="H78" s="411"/>
      <c r="I78" s="411"/>
      <c r="J78" s="411"/>
      <c r="K78" s="411"/>
      <c r="L78" s="411"/>
      <c r="M78" s="411"/>
      <c r="N78" s="411"/>
      <c r="O78" s="411"/>
      <c r="P78" s="411"/>
      <c r="Q78" s="411"/>
      <c r="R78" s="412"/>
    </row>
    <row r="79" spans="1:20" s="72" customFormat="1" ht="15" customHeight="1">
      <c r="A79" s="453" t="s">
        <v>162</v>
      </c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54"/>
    </row>
    <row r="80" spans="1:20" s="72" customFormat="1" ht="15" customHeight="1">
      <c r="A80" s="410" t="s">
        <v>9</v>
      </c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11"/>
      <c r="M80" s="411"/>
      <c r="N80" s="411"/>
      <c r="O80" s="411"/>
      <c r="P80" s="411"/>
      <c r="Q80" s="411"/>
      <c r="R80" s="412"/>
    </row>
    <row r="81" spans="1:18" s="72" customFormat="1" ht="15" customHeight="1">
      <c r="A81" s="441" t="s">
        <v>163</v>
      </c>
      <c r="B81" s="417"/>
      <c r="C81" s="417"/>
      <c r="D81" s="417"/>
      <c r="E81" s="417"/>
      <c r="F81" s="417"/>
      <c r="G81" s="417"/>
      <c r="H81" s="417"/>
      <c r="I81" s="417"/>
      <c r="J81" s="417"/>
      <c r="K81" s="417"/>
      <c r="L81" s="417"/>
      <c r="M81" s="417"/>
      <c r="N81" s="417"/>
      <c r="O81" s="417"/>
      <c r="P81" s="417"/>
      <c r="Q81" s="417"/>
      <c r="R81" s="442"/>
    </row>
    <row r="82" spans="1:18" s="72" customFormat="1" ht="15" customHeight="1">
      <c r="A82" s="410" t="s">
        <v>9</v>
      </c>
      <c r="B82" s="411"/>
      <c r="C82" s="411"/>
      <c r="D82" s="411"/>
      <c r="E82" s="411"/>
      <c r="F82" s="411"/>
      <c r="G82" s="411"/>
      <c r="H82" s="411"/>
      <c r="I82" s="411"/>
      <c r="J82" s="411"/>
      <c r="K82" s="411"/>
      <c r="L82" s="411"/>
      <c r="M82" s="411"/>
      <c r="N82" s="411"/>
      <c r="O82" s="411"/>
      <c r="P82" s="411"/>
      <c r="Q82" s="411"/>
      <c r="R82" s="412"/>
    </row>
    <row r="83" spans="1:18" s="72" customFormat="1" ht="15" customHeight="1">
      <c r="A83" s="451" t="s">
        <v>165</v>
      </c>
      <c r="B83" s="413"/>
      <c r="C83" s="413"/>
      <c r="D83" s="413"/>
      <c r="E83" s="413"/>
      <c r="F83" s="413"/>
      <c r="G83" s="413"/>
      <c r="H83" s="413"/>
      <c r="I83" s="413"/>
      <c r="J83" s="413"/>
      <c r="K83" s="413"/>
      <c r="L83" s="413"/>
      <c r="M83" s="413"/>
      <c r="N83" s="413"/>
      <c r="O83" s="413"/>
      <c r="P83" s="413"/>
      <c r="Q83" s="413"/>
      <c r="R83" s="452"/>
    </row>
    <row r="84" spans="1:18" s="72" customFormat="1" ht="15" customHeight="1">
      <c r="A84" s="410" t="s">
        <v>9</v>
      </c>
      <c r="B84" s="411"/>
      <c r="C84" s="411"/>
      <c r="D84" s="411"/>
      <c r="E84" s="411"/>
      <c r="F84" s="411"/>
      <c r="G84" s="411"/>
      <c r="H84" s="411"/>
      <c r="I84" s="411"/>
      <c r="J84" s="411"/>
      <c r="K84" s="411"/>
      <c r="L84" s="411"/>
      <c r="M84" s="411"/>
      <c r="N84" s="411"/>
      <c r="O84" s="411"/>
      <c r="P84" s="411"/>
      <c r="Q84" s="411"/>
      <c r="R84" s="412"/>
    </row>
    <row r="85" spans="1:18" s="72" customFormat="1" ht="15" customHeight="1">
      <c r="A85" s="451" t="s">
        <v>166</v>
      </c>
      <c r="B85" s="413"/>
      <c r="C85" s="413"/>
      <c r="D85" s="413"/>
      <c r="E85" s="413"/>
      <c r="F85" s="413"/>
      <c r="G85" s="413"/>
      <c r="H85" s="413"/>
      <c r="I85" s="413"/>
      <c r="J85" s="413"/>
      <c r="K85" s="413"/>
      <c r="L85" s="413"/>
      <c r="M85" s="413"/>
      <c r="N85" s="413"/>
      <c r="O85" s="413"/>
      <c r="P85" s="413"/>
      <c r="Q85" s="413"/>
      <c r="R85" s="452"/>
    </row>
    <row r="86" spans="1:18" s="72" customFormat="1" ht="15" customHeight="1">
      <c r="A86" s="410" t="s">
        <v>9</v>
      </c>
      <c r="B86" s="411"/>
      <c r="C86" s="411"/>
      <c r="D86" s="411"/>
      <c r="E86" s="411"/>
      <c r="F86" s="411"/>
      <c r="G86" s="411"/>
      <c r="H86" s="411"/>
      <c r="I86" s="411"/>
      <c r="J86" s="411"/>
      <c r="K86" s="411"/>
      <c r="L86" s="411"/>
      <c r="M86" s="411"/>
      <c r="N86" s="411"/>
      <c r="O86" s="411"/>
      <c r="P86" s="411"/>
      <c r="Q86" s="411"/>
      <c r="R86" s="412"/>
    </row>
    <row r="87" spans="1:18" ht="15.75" customHeight="1"/>
    <row r="88" spans="1:18" ht="15.75" customHeight="1"/>
    <row r="89" spans="1:18" ht="15.75" customHeight="1"/>
    <row r="90" spans="1:18" ht="15.75" customHeight="1"/>
    <row r="91" spans="1:18" ht="15.75" customHeight="1"/>
    <row r="92" spans="1:18" ht="15.75" customHeight="1"/>
    <row r="93" spans="1:18" ht="15.75" customHeight="1"/>
    <row r="94" spans="1:18" ht="15.75" customHeight="1"/>
    <row r="95" spans="1:18" ht="15.75" customHeight="1"/>
    <row r="96" spans="1:1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</sheetData>
  <mergeCells count="33">
    <mergeCell ref="A37:R37"/>
    <mergeCell ref="A1:R3"/>
    <mergeCell ref="A4:A5"/>
    <mergeCell ref="B4:B5"/>
    <mergeCell ref="C4:C5"/>
    <mergeCell ref="D4:D5"/>
    <mergeCell ref="E4:E5"/>
    <mergeCell ref="F4:F5"/>
    <mergeCell ref="G4:R4"/>
    <mergeCell ref="A28:R28"/>
    <mergeCell ref="A32:R32"/>
    <mergeCell ref="A33:R33"/>
    <mergeCell ref="A35:R35"/>
    <mergeCell ref="A78:R78"/>
    <mergeCell ref="A41:R41"/>
    <mergeCell ref="A43:R43"/>
    <mergeCell ref="A47:R47"/>
    <mergeCell ref="A62:R62"/>
    <mergeCell ref="A69:R69"/>
    <mergeCell ref="B70:R70"/>
    <mergeCell ref="A73:R73"/>
    <mergeCell ref="A74:R74"/>
    <mergeCell ref="A75:R75"/>
    <mergeCell ref="A76:R76"/>
    <mergeCell ref="A77:R77"/>
    <mergeCell ref="A85:R85"/>
    <mergeCell ref="A86:R86"/>
    <mergeCell ref="A79:R79"/>
    <mergeCell ref="A80:R80"/>
    <mergeCell ref="A81:R81"/>
    <mergeCell ref="A82:R82"/>
    <mergeCell ref="A83:R83"/>
    <mergeCell ref="A84:R84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82d29e-ca90-4d27-9278-ebb116cec9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946F6902248E4EB7BAFE3C3505CEE5" ma:contentTypeVersion="6" ma:contentTypeDescription="Create a new document." ma:contentTypeScope="" ma:versionID="9e8c3d7ad307303ead0044f225390158">
  <xsd:schema xmlns:xsd="http://www.w3.org/2001/XMLSchema" xmlns:xs="http://www.w3.org/2001/XMLSchema" xmlns:p="http://schemas.microsoft.com/office/2006/metadata/properties" xmlns:ns3="0482d29e-ca90-4d27-9278-ebb116cec95e" targetNamespace="http://schemas.microsoft.com/office/2006/metadata/properties" ma:root="true" ma:fieldsID="2a36e2a318e65adfa4fb1783974765b7" ns3:_="">
    <xsd:import namespace="0482d29e-ca90-4d27-9278-ebb116cec9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2d29e-ca90-4d27-9278-ebb116cec9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8CCFED-E39C-43B3-8B0C-50DAF328852C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0482d29e-ca90-4d27-9278-ebb116cec95e"/>
  </ds:schemaRefs>
</ds:datastoreItem>
</file>

<file path=customXml/itemProps2.xml><?xml version="1.0" encoding="utf-8"?>
<ds:datastoreItem xmlns:ds="http://schemas.openxmlformats.org/officeDocument/2006/customXml" ds:itemID="{D10CA10B-4387-46F9-A03F-04D3DBBDD5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82d29e-ca90-4d27-9278-ebb116cec9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80EE5D-FA23-434E-94BE-078833829D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 TGO AR4</vt:lpstr>
      <vt:lpstr>Excel sheet-Head Office</vt:lpstr>
      <vt:lpstr>Activity data -Head Office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Natanee Vorayos</dc:creator>
  <cp:keywords/>
  <dc:description/>
  <cp:lastModifiedBy>Narumon.s (พี)</cp:lastModifiedBy>
  <cp:revision/>
  <cp:lastPrinted>2025-10-18T08:10:46Z</cp:lastPrinted>
  <dcterms:created xsi:type="dcterms:W3CDTF">2016-07-25T18:04:14Z</dcterms:created>
  <dcterms:modified xsi:type="dcterms:W3CDTF">2026-07-18T13:59:56Z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601eca-9349-4946-ada1-a3a74ade9163_Enabled">
    <vt:lpwstr>true</vt:lpwstr>
  </property>
  <property fmtid="{D5CDD505-2E9C-101B-9397-08002B2CF9AE}" pid="3" name="MSIP_Label_d7601eca-9349-4946-ada1-a3a74ade9163_SetDate">
    <vt:lpwstr>2024-12-25T05:26:00Z</vt:lpwstr>
  </property>
  <property fmtid="{D5CDD505-2E9C-101B-9397-08002B2CF9AE}" pid="4" name="MSIP_Label_d7601eca-9349-4946-ada1-a3a74ade9163_Method">
    <vt:lpwstr>Privileged</vt:lpwstr>
  </property>
  <property fmtid="{D5CDD505-2E9C-101B-9397-08002B2CF9AE}" pid="5" name="MSIP_Label_d7601eca-9349-4946-ada1-a3a74ade9163_Name">
    <vt:lpwstr>Public - Un-Marked</vt:lpwstr>
  </property>
  <property fmtid="{D5CDD505-2E9C-101B-9397-08002B2CF9AE}" pid="6" name="MSIP_Label_d7601eca-9349-4946-ada1-a3a74ade9163_SiteId">
    <vt:lpwstr>54946ffc-68d3-4955-ac70-dca726d445b4</vt:lpwstr>
  </property>
  <property fmtid="{D5CDD505-2E9C-101B-9397-08002B2CF9AE}" pid="7" name="MSIP_Label_d7601eca-9349-4946-ada1-a3a74ade9163_ActionId">
    <vt:lpwstr>4d7e289a-e1bc-4d15-9a8c-a4fb4475cf0f</vt:lpwstr>
  </property>
  <property fmtid="{D5CDD505-2E9C-101B-9397-08002B2CF9AE}" pid="8" name="MSIP_Label_d7601eca-9349-4946-ada1-a3a74ade9163_ContentBits">
    <vt:lpwstr>0</vt:lpwstr>
  </property>
  <property fmtid="{D5CDD505-2E9C-101B-9397-08002B2CF9AE}" pid="9" name="ContentTypeId">
    <vt:lpwstr>0x010100BB946F6902248E4EB7BAFE3C3505CEE5</vt:lpwstr>
  </property>
</Properties>
</file>